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KHYATHI SRI  CHEPURI\OneDrive\Desktop\"/>
    </mc:Choice>
  </mc:AlternateContent>
  <bookViews>
    <workbookView xWindow="0" yWindow="0" windowWidth="23040" windowHeight="10332" activeTab="2"/>
  </bookViews>
  <sheets>
    <sheet name="Sheet1" sheetId="4" r:id="rId1"/>
    <sheet name="Budget" sheetId="1" r:id="rId2"/>
    <sheet name="Sheet3" sheetId="3" r:id="rId3"/>
    <sheet name="Transactions" sheetId="2" r:id="rId4"/>
  </sheets>
  <definedNames>
    <definedName name="Slicer_Actual_spent">#N/A</definedName>
    <definedName name="Slicer_Category">#N/A</definedName>
    <definedName name="Slicer_Remaining">#N/A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1" l="1"/>
  <c r="D4" i="1"/>
  <c r="D5" i="1"/>
  <c r="D6" i="1"/>
  <c r="D7" i="1"/>
  <c r="D8" i="1"/>
  <c r="D9" i="1"/>
  <c r="D10" i="1"/>
  <c r="D11" i="1"/>
  <c r="D12" i="1"/>
  <c r="D13" i="1"/>
  <c r="D2" i="1"/>
</calcChain>
</file>

<file path=xl/sharedStrings.xml><?xml version="1.0" encoding="utf-8"?>
<sst xmlns="http://schemas.openxmlformats.org/spreadsheetml/2006/main" count="156" uniqueCount="40">
  <si>
    <t>Category</t>
  </si>
  <si>
    <t>Rent</t>
  </si>
  <si>
    <t>Food</t>
  </si>
  <si>
    <t>Transport</t>
  </si>
  <si>
    <t>Savings</t>
  </si>
  <si>
    <t>Monthly budget</t>
  </si>
  <si>
    <t>Date</t>
  </si>
  <si>
    <t>Entertainment</t>
  </si>
  <si>
    <t>shopping</t>
  </si>
  <si>
    <t>Education</t>
  </si>
  <si>
    <t>Utilities</t>
  </si>
  <si>
    <t>Healthcare</t>
  </si>
  <si>
    <t>Freelance</t>
  </si>
  <si>
    <t>Salary</t>
  </si>
  <si>
    <t>Type</t>
  </si>
  <si>
    <t>Income</t>
  </si>
  <si>
    <t>Expense</t>
  </si>
  <si>
    <t>Description</t>
  </si>
  <si>
    <t>House rent</t>
  </si>
  <si>
    <t>Groceries</t>
  </si>
  <si>
    <t>Taxi</t>
  </si>
  <si>
    <t>Movie night</t>
  </si>
  <si>
    <t>Monthly deposit</t>
  </si>
  <si>
    <t>RD/SIP investrr</t>
  </si>
  <si>
    <t>Clothing</t>
  </si>
  <si>
    <t>Online course</t>
  </si>
  <si>
    <t>Electricity bill</t>
  </si>
  <si>
    <t>Medical checkup</t>
  </si>
  <si>
    <t>Freelance project</t>
  </si>
  <si>
    <t>Salary credit</t>
  </si>
  <si>
    <t>Actual Amount</t>
  </si>
  <si>
    <t>Month</t>
  </si>
  <si>
    <t>January</t>
  </si>
  <si>
    <t>Actual spent</t>
  </si>
  <si>
    <t>Remaining</t>
  </si>
  <si>
    <t>Row Labels</t>
  </si>
  <si>
    <t>Grand Total</t>
  </si>
  <si>
    <t>Sum of Monthly budget</t>
  </si>
  <si>
    <t>Sum of Actual spent</t>
  </si>
  <si>
    <t>Sum of Remaining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</si>
</sst>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[Project-1.xlsx]Sheet1!PivotTable1</c:name>
    <c:fmtId val="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manualLayout>
          <c:layoutTarget val="inner"/>
          <c:xMode val="edge"/>
          <c:yMode val="edge"/>
          <c:x val="9.3598745486221241E-2"/>
          <c:y val="0.27889188928700054"/>
          <c:w val="0.36964267098044873"/>
          <c:h val="0.57106237202043275"/>
        </c:manualLayout>
      </c:layout>
      <c:pieChart>
        <c:varyColors val="1"/>
        <c:ser>
          <c:idx val="0"/>
          <c:order val="0"/>
          <c:tx>
            <c:strRef>
              <c:f>Sheet1!$B$3</c:f>
              <c:strCache>
                <c:ptCount val="1"/>
                <c:pt idx="0">
                  <c:v>Sum of Monthly budget</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283-4ED0-9288-EBFE4FA07EBF}"/>
              </c:ext>
            </c:extLst>
          </c:dPt>
          <c:dPt>
            <c:idx val="1"/>
            <c:bubble3D val="0"/>
            <c:explosion val="0"/>
            <c:spPr>
              <a:solidFill>
                <a:schemeClr val="accent2"/>
              </a:solidFill>
              <a:ln w="19050">
                <a:solidFill>
                  <a:schemeClr val="lt1"/>
                </a:solidFill>
              </a:ln>
              <a:effectLst/>
            </c:spPr>
            <c:extLst>
              <c:ext xmlns:c16="http://schemas.microsoft.com/office/drawing/2014/chart" uri="{C3380CC4-5D6E-409C-BE32-E72D297353CC}">
                <c16:uniqueId val="{00000003-8283-4ED0-9288-EBFE4FA07E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AE-4365-B626-81843B31C9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AE-4365-B626-81843B31C9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AE-4365-B626-81843B31C92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2AE-4365-B626-81843B31C92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2AE-4365-B626-81843B31C92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2AE-4365-B626-81843B31C92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2AE-4365-B626-81843B31C92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2AE-4365-B626-81843B31C92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2AE-4365-B626-81843B31C9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Sheet1!$A$4:$A$26</c:f>
              <c:multiLvlStrCache>
                <c:ptCount val="11"/>
                <c:lvl>
                  <c:pt idx="0">
                    <c:v>January</c:v>
                  </c:pt>
                  <c:pt idx="1">
                    <c:v>January</c:v>
                  </c:pt>
                  <c:pt idx="2">
                    <c:v>January</c:v>
                  </c:pt>
                  <c:pt idx="3">
                    <c:v>January</c:v>
                  </c:pt>
                  <c:pt idx="4">
                    <c:v>January</c:v>
                  </c:pt>
                  <c:pt idx="5">
                    <c:v>January</c:v>
                  </c:pt>
                  <c:pt idx="6">
                    <c:v>January</c:v>
                  </c:pt>
                  <c:pt idx="7">
                    <c:v>January</c:v>
                  </c:pt>
                  <c:pt idx="8">
                    <c:v>January</c:v>
                  </c:pt>
                  <c:pt idx="9">
                    <c:v>January</c:v>
                  </c:pt>
                  <c:pt idx="10">
                    <c:v>January</c:v>
                  </c:pt>
                </c:lvl>
                <c:lvl>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lvl>
              </c:multiLvlStrCache>
            </c:multiLvlStrRef>
          </c:cat>
          <c:val>
            <c:numRef>
              <c:f>Sheet1!$B$4:$B$26</c:f>
              <c:numCache>
                <c:formatCode>General</c:formatCode>
                <c:ptCount val="11"/>
                <c:pt idx="0">
                  <c:v>900</c:v>
                </c:pt>
                <c:pt idx="1">
                  <c:v>150</c:v>
                </c:pt>
                <c:pt idx="2">
                  <c:v>500</c:v>
                </c:pt>
                <c:pt idx="3">
                  <c:v>800</c:v>
                </c:pt>
                <c:pt idx="4">
                  <c:v>650</c:v>
                </c:pt>
                <c:pt idx="5">
                  <c:v>1000</c:v>
                </c:pt>
                <c:pt idx="6">
                  <c:v>3000</c:v>
                </c:pt>
                <c:pt idx="7">
                  <c:v>800</c:v>
                </c:pt>
                <c:pt idx="8">
                  <c:v>400</c:v>
                </c:pt>
                <c:pt idx="9">
                  <c:v>200</c:v>
                </c:pt>
                <c:pt idx="10">
                  <c:v>400</c:v>
                </c:pt>
              </c:numCache>
            </c:numRef>
          </c:val>
          <c:extLst>
            <c:ext xmlns:c16="http://schemas.microsoft.com/office/drawing/2014/chart" uri="{C3380CC4-5D6E-409C-BE32-E72D297353CC}">
              <c16:uniqueId val="{00000000-8283-4ED0-9288-EBFE4FA07EBF}"/>
            </c:ext>
          </c:extLst>
        </c:ser>
        <c:ser>
          <c:idx val="1"/>
          <c:order val="1"/>
          <c:tx>
            <c:strRef>
              <c:f>Sheet1!$C$3</c:f>
              <c:strCache>
                <c:ptCount val="1"/>
                <c:pt idx="0">
                  <c:v>Sum of Actual spent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C2AE-4365-B626-81843B31C9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C2AE-4365-B626-81843B31C9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C2AE-4365-B626-81843B31C9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C2AE-4365-B626-81843B31C9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C2AE-4365-B626-81843B31C92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1-C2AE-4365-B626-81843B31C92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3-C2AE-4365-B626-81843B31C92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5-C2AE-4365-B626-81843B31C92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7-C2AE-4365-B626-81843B31C92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9-C2AE-4365-B626-81843B31C92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B-C2AE-4365-B626-81843B31C9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Sheet1!$A$4:$A$26</c:f>
              <c:multiLvlStrCache>
                <c:ptCount val="11"/>
                <c:lvl>
                  <c:pt idx="0">
                    <c:v>January</c:v>
                  </c:pt>
                  <c:pt idx="1">
                    <c:v>January</c:v>
                  </c:pt>
                  <c:pt idx="2">
                    <c:v>January</c:v>
                  </c:pt>
                  <c:pt idx="3">
                    <c:v>January</c:v>
                  </c:pt>
                  <c:pt idx="4">
                    <c:v>January</c:v>
                  </c:pt>
                  <c:pt idx="5">
                    <c:v>January</c:v>
                  </c:pt>
                  <c:pt idx="6">
                    <c:v>January</c:v>
                  </c:pt>
                  <c:pt idx="7">
                    <c:v>January</c:v>
                  </c:pt>
                  <c:pt idx="8">
                    <c:v>January</c:v>
                  </c:pt>
                  <c:pt idx="9">
                    <c:v>January</c:v>
                  </c:pt>
                  <c:pt idx="10">
                    <c:v>January</c:v>
                  </c:pt>
                </c:lvl>
                <c:lvl>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lvl>
              </c:multiLvlStrCache>
            </c:multiLvlStrRef>
          </c:cat>
          <c:val>
            <c:numRef>
              <c:f>Sheet1!$C$4:$C$26</c:f>
              <c:numCache>
                <c:formatCode>General</c:formatCode>
                <c:ptCount val="11"/>
                <c:pt idx="0">
                  <c:v>700</c:v>
                </c:pt>
                <c:pt idx="1">
                  <c:v>100</c:v>
                </c:pt>
                <c:pt idx="2">
                  <c:v>250</c:v>
                </c:pt>
                <c:pt idx="3">
                  <c:v>730</c:v>
                </c:pt>
                <c:pt idx="4">
                  <c:v>550</c:v>
                </c:pt>
                <c:pt idx="5">
                  <c:v>500</c:v>
                </c:pt>
                <c:pt idx="6">
                  <c:v>2500</c:v>
                </c:pt>
                <c:pt idx="7">
                  <c:v>750</c:v>
                </c:pt>
                <c:pt idx="8">
                  <c:v>300</c:v>
                </c:pt>
                <c:pt idx="9">
                  <c:v>150</c:v>
                </c:pt>
                <c:pt idx="10">
                  <c:v>350</c:v>
                </c:pt>
              </c:numCache>
            </c:numRef>
          </c:val>
          <c:extLst>
            <c:ext xmlns:c16="http://schemas.microsoft.com/office/drawing/2014/chart" uri="{C3380CC4-5D6E-409C-BE32-E72D297353CC}">
              <c16:uniqueId val="{00000001-8283-4ED0-9288-EBFE4FA07E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[Project-1.xlsx]Sheet1!PivotTable3</c:name>
    <c:fmtId val="2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a:noFill/>
          </a:ln>
          <a:effectLst/>
        </c:spPr>
        <c:dLbl>
          <c:idx val="0"/>
          <c:layout>
            <c:manualLayout>
              <c:x val="6.9881201956673656E-3"/>
              <c:y val="-1.9290123456790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dLbl>
          <c:idx val="0"/>
          <c:layout>
            <c:manualLayout>
              <c:x val="4.6587467971115773E-3"/>
              <c:y val="9.645061728395061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c:spPr>
        <c:dLbl>
          <c:idx val="0"/>
          <c:layout>
            <c:manualLayout>
              <c:x val="2.3293733985557457E-3"/>
              <c:y val="2.4112654320987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dLbl>
          <c:idx val="0"/>
          <c:layout>
            <c:manualLayout>
              <c:x val="0"/>
              <c:y val="-1.9290123456790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Sheet1!$F$3</c:f>
              <c:strCache>
                <c:ptCount val="1"/>
                <c:pt idx="0">
                  <c:v>Sum of Monthly budget</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5-6B8B-4322-990F-F6E76241C3E2}"/>
              </c:ext>
            </c:extLst>
          </c:dPt>
          <c:dLbls>
            <c:dLbl>
              <c:idx val="1"/>
              <c:layout>
                <c:manualLayout>
                  <c:x val="0"/>
                  <c:y val="-1.929012345679012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6B8B-4322-990F-F6E76241C3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Sheet1!$E$4:$E$15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Sheet1!$F$4:$F$15</c:f>
              <c:numCache>
                <c:formatCode>General</c:formatCode>
                <c:ptCount val="11"/>
                <c:pt idx="0">
                  <c:v>900</c:v>
                </c:pt>
                <c:pt idx="1">
                  <c:v>150</c:v>
                </c:pt>
                <c:pt idx="2">
                  <c:v>500</c:v>
                </c:pt>
                <c:pt idx="3">
                  <c:v>800</c:v>
                </c:pt>
                <c:pt idx="4">
                  <c:v>650</c:v>
                </c:pt>
                <c:pt idx="5">
                  <c:v>1000</c:v>
                </c:pt>
                <c:pt idx="6">
                  <c:v>3000</c:v>
                </c:pt>
                <c:pt idx="7">
                  <c:v>800</c:v>
                </c:pt>
                <c:pt idx="8">
                  <c:v>400</c:v>
                </c:pt>
                <c:pt idx="9">
                  <c:v>200</c:v>
                </c:pt>
                <c:pt idx="10">
                  <c:v>400</c:v>
                </c:pt>
              </c:numCache>
            </c:numRef>
          </c:val>
          <c:extLst>
            <c:ext xmlns:c16="http://schemas.microsoft.com/office/drawing/2014/chart" uri="{C3380CC4-5D6E-409C-BE32-E72D297353CC}">
              <c16:uniqueId val="{00000000-6B8B-4322-990F-F6E76241C3E2}"/>
            </c:ext>
          </c:extLst>
        </c:ser>
        <c:ser>
          <c:idx val="1"/>
          <c:order val="1"/>
          <c:tx>
            <c:strRef>
              <c:f>Sheet1!$G$3</c:f>
              <c:strCache>
                <c:ptCount val="1"/>
                <c:pt idx="0">
                  <c:v>Sum of Remaining</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2-6B8B-4322-990F-F6E76241C3E2}"/>
              </c:ext>
            </c:extLst>
          </c:dPt>
          <c:dPt>
            <c:idx val="1"/>
            <c:invertIfNegative val="0"/>
            <c:bubble3D val="0"/>
            <c:extLst>
              <c:ext xmlns:c16="http://schemas.microsoft.com/office/drawing/2014/chart" uri="{C3380CC4-5D6E-409C-BE32-E72D297353CC}">
                <c16:uniqueId val="{00000003-6B8B-4322-990F-F6E76241C3E2}"/>
              </c:ext>
            </c:extLst>
          </c:dPt>
          <c:dPt>
            <c:idx val="2"/>
            <c:invertIfNegative val="0"/>
            <c:bubble3D val="0"/>
            <c:extLst>
              <c:ext xmlns:c16="http://schemas.microsoft.com/office/drawing/2014/chart" uri="{C3380CC4-5D6E-409C-BE32-E72D297353CC}">
                <c16:uniqueId val="{00000004-6B8B-4322-990F-F6E76241C3E2}"/>
              </c:ext>
            </c:extLst>
          </c:dPt>
          <c:dLbls>
            <c:dLbl>
              <c:idx val="0"/>
              <c:layout>
                <c:manualLayout>
                  <c:x val="6.9881201956673656E-3"/>
                  <c:y val="-1.929012345679012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6B8B-4322-990F-F6E76241C3E2}"/>
                </c:ext>
              </c:extLst>
            </c:dLbl>
            <c:dLbl>
              <c:idx val="1"/>
              <c:layout>
                <c:manualLayout>
                  <c:x val="4.6587467971115773E-3"/>
                  <c:y val="9.6450617283950612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6B8B-4322-990F-F6E76241C3E2}"/>
                </c:ext>
              </c:extLst>
            </c:dLbl>
            <c:dLbl>
              <c:idx val="2"/>
              <c:layout>
                <c:manualLayout>
                  <c:x val="2.3293733985557457E-3"/>
                  <c:y val="2.411265432098765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6B8B-4322-990F-F6E76241C3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Sheet1!$E$4:$E$15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Sheet1!$G$4:$G$15</c:f>
              <c:numCache>
                <c:formatCode>General</c:formatCode>
                <c:ptCount val="11"/>
                <c:pt idx="0">
                  <c:v>200</c:v>
                </c:pt>
                <c:pt idx="1">
                  <c:v>50</c:v>
                </c:pt>
                <c:pt idx="2">
                  <c:v>250</c:v>
                </c:pt>
                <c:pt idx="3">
                  <c:v>70</c:v>
                </c:pt>
                <c:pt idx="4">
                  <c:v>100</c:v>
                </c:pt>
                <c:pt idx="5">
                  <c:v>500</c:v>
                </c:pt>
                <c:pt idx="6">
                  <c:v>500</c:v>
                </c:pt>
                <c:pt idx="7">
                  <c:v>50</c:v>
                </c:pt>
                <c:pt idx="8">
                  <c:v>100</c:v>
                </c:pt>
                <c:pt idx="9">
                  <c:v>50</c:v>
                </c:pt>
                <c:pt idx="10">
                  <c:v>50</c:v>
                </c:pt>
              </c:numCache>
            </c:numRef>
          </c:val>
          <c:extLst>
            <c:ext xmlns:c16="http://schemas.microsoft.com/office/drawing/2014/chart" uri="{C3380CC4-5D6E-409C-BE32-E72D297353CC}">
              <c16:uniqueId val="{00000001-6B8B-4322-990F-F6E76241C3E2}"/>
            </c:ext>
          </c:extLst>
        </c:ser>
        <c:dLbls>
          <c:showLegendKey val="0"/>
          <c:showVal val="1"/>
          <c:showCatName val="0"/>
          <c:showSerName val="0"/>
          <c:showPercent val="0"/>
          <c:showBubbleSize val="0"/>
        </c:dLbls>
        <c:gapWidth val="150"/>
        <c:axId val="1321113135"/>
        <c:axId val="1321126863"/>
      </c:barChart>
      <c:catAx>
        <c:axId val="13211131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26863"/>
        <c:crosses val="autoZero"/>
        <c:auto val="1"/>
        <c:lblAlgn val="ctr"/>
        <c:lblOffset val="100"/>
        <c:noMultiLvlLbl val="0"/>
      </c:catAx>
      <c:valAx>
        <c:axId val="13211268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131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[Project-1.xlsx]Sheet1!PivotTable4</c:name>
    <c:fmtId val="6"/>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148928258967629"/>
          <c:y val="0.23046077573636628"/>
          <c:w val="0.51298775153105858"/>
          <c:h val="0.46265055409740447"/>
        </c:manualLayout>
      </c:layout>
      <c:lineChart>
        <c:grouping val="standard"/>
        <c:varyColors val="0"/>
        <c:ser>
          <c:idx val="0"/>
          <c:order val="0"/>
          <c:tx>
            <c:strRef>
              <c:f>Sheet1!$J$4</c:f>
              <c:strCache>
                <c:ptCount val="1"/>
                <c:pt idx="0">
                  <c:v>Sum of Monthly budget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Sheet1!$I$5:$I$16</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Sheet1!$J$5:$J$16</c:f>
              <c:numCache>
                <c:formatCode>General</c:formatCode>
                <c:ptCount val="11"/>
                <c:pt idx="0">
                  <c:v>900</c:v>
                </c:pt>
                <c:pt idx="1">
                  <c:v>150</c:v>
                </c:pt>
                <c:pt idx="2">
                  <c:v>500</c:v>
                </c:pt>
                <c:pt idx="3">
                  <c:v>800</c:v>
                </c:pt>
                <c:pt idx="4">
                  <c:v>650</c:v>
                </c:pt>
                <c:pt idx="5">
                  <c:v>1000</c:v>
                </c:pt>
                <c:pt idx="6">
                  <c:v>3000</c:v>
                </c:pt>
                <c:pt idx="7">
                  <c:v>800</c:v>
                </c:pt>
                <c:pt idx="8">
                  <c:v>400</c:v>
                </c:pt>
                <c:pt idx="9">
                  <c:v>200</c:v>
                </c:pt>
                <c:pt idx="10">
                  <c:v>400</c:v>
                </c:pt>
              </c:numCache>
            </c:numRef>
          </c:val>
          <c:smooth val="0"/>
          <c:extLst>
            <c:ext xmlns:c16="http://schemas.microsoft.com/office/drawing/2014/chart" uri="{C3380CC4-5D6E-409C-BE32-E72D297353CC}">
              <c16:uniqueId val="{00000000-B4D3-466F-B876-7878582BC629}"/>
            </c:ext>
          </c:extLst>
        </c:ser>
        <c:ser>
          <c:idx val="1"/>
          <c:order val="1"/>
          <c:tx>
            <c:strRef>
              <c:f>Sheet1!$K$4</c:f>
              <c:strCache>
                <c:ptCount val="1"/>
                <c:pt idx="0">
                  <c:v>Sum of Actual spent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Sheet1!$I$5:$I$16</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Sheet1!$K$5:$K$16</c:f>
              <c:numCache>
                <c:formatCode>General</c:formatCode>
                <c:ptCount val="11"/>
                <c:pt idx="0">
                  <c:v>700</c:v>
                </c:pt>
                <c:pt idx="1">
                  <c:v>100</c:v>
                </c:pt>
                <c:pt idx="2">
                  <c:v>250</c:v>
                </c:pt>
                <c:pt idx="3">
                  <c:v>730</c:v>
                </c:pt>
                <c:pt idx="4">
                  <c:v>550</c:v>
                </c:pt>
                <c:pt idx="5">
                  <c:v>500</c:v>
                </c:pt>
                <c:pt idx="6">
                  <c:v>2500</c:v>
                </c:pt>
                <c:pt idx="7">
                  <c:v>750</c:v>
                </c:pt>
                <c:pt idx="8">
                  <c:v>300</c:v>
                </c:pt>
                <c:pt idx="9">
                  <c:v>150</c:v>
                </c:pt>
                <c:pt idx="10">
                  <c:v>350</c:v>
                </c:pt>
              </c:numCache>
            </c:numRef>
          </c:val>
          <c:smooth val="0"/>
          <c:extLst>
            <c:ext xmlns:c16="http://schemas.microsoft.com/office/drawing/2014/chart" uri="{C3380CC4-5D6E-409C-BE32-E72D297353CC}">
              <c16:uniqueId val="{00000001-B4D3-466F-B876-7878582BC629}"/>
            </c:ext>
          </c:extLst>
        </c:ser>
        <c:dLbls>
          <c:showLegendKey val="0"/>
          <c:showVal val="0"/>
          <c:showCatName val="0"/>
          <c:showSerName val="0"/>
          <c:showPercent val="0"/>
          <c:showBubbleSize val="0"/>
        </c:dLbls>
        <c:marker val="1"/>
        <c:smooth val="0"/>
        <c:axId val="1542635279"/>
        <c:axId val="1542619887"/>
      </c:lineChart>
      <c:catAx>
        <c:axId val="154263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619887"/>
        <c:crosses val="autoZero"/>
        <c:auto val="1"/>
        <c:lblAlgn val="ctr"/>
        <c:lblOffset val="100"/>
        <c:noMultiLvlLbl val="0"/>
      </c:catAx>
      <c:valAx>
        <c:axId val="1542619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6352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[Project-1.xlsx]Sheet1!PivotTable5</c:name>
    <c:fmtId val="15"/>
  </c:pivotSource>
  <c:chart>
    <c:autoTitleDeleted val="1"/>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Sheet1!$N$5</c:f>
              <c:strCache>
                <c:ptCount val="1"/>
                <c:pt idx="0">
                  <c:v>Sum of Monthly budget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56E-4415-8E7F-F3BF20FC8D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56E-4415-8E7F-F3BF20FC8D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56E-4415-8E7F-F3BF20FC8DE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56E-4415-8E7F-F3BF20FC8DE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56E-4415-8E7F-F3BF20FC8DE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56E-4415-8E7F-F3BF20FC8DE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56E-4415-8E7F-F3BF20FC8DE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356E-4415-8E7F-F3BF20FC8DE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356E-4415-8E7F-F3BF20FC8DE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356E-4415-8E7F-F3BF20FC8DE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356E-4415-8E7F-F3BF20FC8D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Sheet1!$M$6:$M$17</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Sheet1!$N$6:$N$17</c:f>
              <c:numCache>
                <c:formatCode>General</c:formatCode>
                <c:ptCount val="11"/>
                <c:pt idx="0">
                  <c:v>900</c:v>
                </c:pt>
                <c:pt idx="1">
                  <c:v>150</c:v>
                </c:pt>
                <c:pt idx="2">
                  <c:v>500</c:v>
                </c:pt>
                <c:pt idx="3">
                  <c:v>800</c:v>
                </c:pt>
                <c:pt idx="4">
                  <c:v>650</c:v>
                </c:pt>
                <c:pt idx="5">
                  <c:v>1000</c:v>
                </c:pt>
                <c:pt idx="6">
                  <c:v>3000</c:v>
                </c:pt>
                <c:pt idx="7">
                  <c:v>800</c:v>
                </c:pt>
                <c:pt idx="8">
                  <c:v>400</c:v>
                </c:pt>
                <c:pt idx="9">
                  <c:v>200</c:v>
                </c:pt>
                <c:pt idx="10">
                  <c:v>400</c:v>
                </c:pt>
              </c:numCache>
            </c:numRef>
          </c:val>
          <c:extLst>
            <c:ext xmlns:c16="http://schemas.microsoft.com/office/drawing/2014/chart" uri="{C3380CC4-5D6E-409C-BE32-E72D297353CC}">
              <c16:uniqueId val="{00000000-5BE9-456E-A021-7415A84851C4}"/>
            </c:ext>
          </c:extLst>
        </c:ser>
        <c:ser>
          <c:idx val="1"/>
          <c:order val="1"/>
          <c:tx>
            <c:strRef>
              <c:f>Sheet1!$O$5</c:f>
              <c:strCache>
                <c:ptCount val="1"/>
                <c:pt idx="0">
                  <c:v>Sum of Actual spent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356E-4415-8E7F-F3BF20FC8D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356E-4415-8E7F-F3BF20FC8D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356E-4415-8E7F-F3BF20FC8DE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356E-4415-8E7F-F3BF20FC8DE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356E-4415-8E7F-F3BF20FC8DE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356E-4415-8E7F-F3BF20FC8DE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356E-4415-8E7F-F3BF20FC8DE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356E-4415-8E7F-F3BF20FC8DE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356E-4415-8E7F-F3BF20FC8DE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356E-4415-8E7F-F3BF20FC8DE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56E-4415-8E7F-F3BF20FC8D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Sheet1!$M$6:$M$17</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Sheet1!$O$6:$O$17</c:f>
              <c:numCache>
                <c:formatCode>General</c:formatCode>
                <c:ptCount val="11"/>
                <c:pt idx="0">
                  <c:v>700</c:v>
                </c:pt>
                <c:pt idx="1">
                  <c:v>100</c:v>
                </c:pt>
                <c:pt idx="2">
                  <c:v>250</c:v>
                </c:pt>
                <c:pt idx="3">
                  <c:v>730</c:v>
                </c:pt>
                <c:pt idx="4">
                  <c:v>550</c:v>
                </c:pt>
                <c:pt idx="5">
                  <c:v>500</c:v>
                </c:pt>
                <c:pt idx="6">
                  <c:v>2500</c:v>
                </c:pt>
                <c:pt idx="7">
                  <c:v>750</c:v>
                </c:pt>
                <c:pt idx="8">
                  <c:v>300</c:v>
                </c:pt>
                <c:pt idx="9">
                  <c:v>150</c:v>
                </c:pt>
                <c:pt idx="10">
                  <c:v>350</c:v>
                </c:pt>
              </c:numCache>
            </c:numRef>
          </c:val>
          <c:extLst>
            <c:ext xmlns:c16="http://schemas.microsoft.com/office/drawing/2014/chart" uri="{C3380CC4-5D6E-409C-BE32-E72D297353CC}">
              <c16:uniqueId val="{00000001-5BE9-456E-A021-7415A84851C4}"/>
            </c:ext>
          </c:extLst>
        </c:ser>
        <c:ser>
          <c:idx val="2"/>
          <c:order val="2"/>
          <c:tx>
            <c:strRef>
              <c:f>Sheet1!$P$5</c:f>
              <c:strCache>
                <c:ptCount val="1"/>
                <c:pt idx="0">
                  <c:v>Sum of Remaining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356E-4415-8E7F-F3BF20FC8D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356E-4415-8E7F-F3BF20FC8D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56E-4415-8E7F-F3BF20FC8DE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356E-4415-8E7F-F3BF20FC8DE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356E-4415-8E7F-F3BF20FC8DE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56E-4415-8E7F-F3BF20FC8DE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356E-4415-8E7F-F3BF20FC8DE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356E-4415-8E7F-F3BF20FC8DE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356E-4415-8E7F-F3BF20FC8DE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356E-4415-8E7F-F3BF20FC8DE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356E-4415-8E7F-F3BF20FC8D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Sheet1!$M$6:$M$17</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Sheet1!$P$6:$P$17</c:f>
              <c:numCache>
                <c:formatCode>General</c:formatCode>
                <c:ptCount val="11"/>
                <c:pt idx="0">
                  <c:v>200</c:v>
                </c:pt>
                <c:pt idx="1">
                  <c:v>50</c:v>
                </c:pt>
                <c:pt idx="2">
                  <c:v>250</c:v>
                </c:pt>
                <c:pt idx="3">
                  <c:v>70</c:v>
                </c:pt>
                <c:pt idx="4">
                  <c:v>100</c:v>
                </c:pt>
                <c:pt idx="5">
                  <c:v>500</c:v>
                </c:pt>
                <c:pt idx="6">
                  <c:v>500</c:v>
                </c:pt>
                <c:pt idx="7">
                  <c:v>50</c:v>
                </c:pt>
                <c:pt idx="8">
                  <c:v>100</c:v>
                </c:pt>
                <c:pt idx="9">
                  <c:v>50</c:v>
                </c:pt>
                <c:pt idx="10">
                  <c:v>50</c:v>
                </c:pt>
              </c:numCache>
            </c:numRef>
          </c:val>
          <c:extLst>
            <c:ext xmlns:c16="http://schemas.microsoft.com/office/drawing/2014/chart" uri="{C3380CC4-5D6E-409C-BE32-E72D297353CC}">
              <c16:uniqueId val="{00000002-5BE9-456E-A021-7415A84851C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[Project-1.xlsx]Sheet1!PivotTable1</c:name>
    <c:fmtId val="8"/>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s>
    <c:plotArea>
      <c:layout>
        <c:manualLayout>
          <c:layoutTarget val="inner"/>
          <c:xMode val="edge"/>
          <c:yMode val="edge"/>
          <c:x val="9.3598745486221241E-2"/>
          <c:y val="0.27889188928700054"/>
          <c:w val="0.36964267098044873"/>
          <c:h val="0.57106237202043275"/>
        </c:manualLayout>
      </c:layout>
      <c:pieChart>
        <c:varyColors val="1"/>
        <c:ser>
          <c:idx val="0"/>
          <c:order val="0"/>
          <c:tx>
            <c:strRef>
              <c:f>Sheet1!$B$3</c:f>
              <c:strCache>
                <c:ptCount val="1"/>
                <c:pt idx="0">
                  <c:v>Sum of Monthly budget</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EE-4FE5-AA71-B2C03B9F7F99}"/>
              </c:ext>
            </c:extLst>
          </c:dPt>
          <c:dPt>
            <c:idx val="1"/>
            <c:bubble3D val="0"/>
            <c:explosion val="0"/>
            <c:spPr>
              <a:solidFill>
                <a:schemeClr val="accent2"/>
              </a:solidFill>
              <a:ln w="19050">
                <a:solidFill>
                  <a:schemeClr val="lt1"/>
                </a:solidFill>
              </a:ln>
              <a:effectLst/>
            </c:spPr>
            <c:extLst>
              <c:ext xmlns:c16="http://schemas.microsoft.com/office/drawing/2014/chart" uri="{C3380CC4-5D6E-409C-BE32-E72D297353CC}">
                <c16:uniqueId val="{00000003-42EE-4FE5-AA71-B2C03B9F7F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EE-4FE5-AA71-B2C03B9F7F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EE-4FE5-AA71-B2C03B9F7F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2EE-4FE5-AA71-B2C03B9F7F9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2EE-4FE5-AA71-B2C03B9F7F9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2EE-4FE5-AA71-B2C03B9F7F9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2EE-4FE5-AA71-B2C03B9F7F9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2EE-4FE5-AA71-B2C03B9F7F9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2EE-4FE5-AA71-B2C03B9F7F9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2EE-4FE5-AA71-B2C03B9F7F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Sheet1!$A$4:$A$26</c:f>
              <c:multiLvlStrCache>
                <c:ptCount val="11"/>
                <c:lvl>
                  <c:pt idx="0">
                    <c:v>January</c:v>
                  </c:pt>
                  <c:pt idx="1">
                    <c:v>January</c:v>
                  </c:pt>
                  <c:pt idx="2">
                    <c:v>January</c:v>
                  </c:pt>
                  <c:pt idx="3">
                    <c:v>January</c:v>
                  </c:pt>
                  <c:pt idx="4">
                    <c:v>January</c:v>
                  </c:pt>
                  <c:pt idx="5">
                    <c:v>January</c:v>
                  </c:pt>
                  <c:pt idx="6">
                    <c:v>January</c:v>
                  </c:pt>
                  <c:pt idx="7">
                    <c:v>January</c:v>
                  </c:pt>
                  <c:pt idx="8">
                    <c:v>January</c:v>
                  </c:pt>
                  <c:pt idx="9">
                    <c:v>January</c:v>
                  </c:pt>
                  <c:pt idx="10">
                    <c:v>January</c:v>
                  </c:pt>
                </c:lvl>
                <c:lvl>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lvl>
              </c:multiLvlStrCache>
            </c:multiLvlStrRef>
          </c:cat>
          <c:val>
            <c:numRef>
              <c:f>Sheet1!$B$4:$B$26</c:f>
              <c:numCache>
                <c:formatCode>General</c:formatCode>
                <c:ptCount val="11"/>
                <c:pt idx="0">
                  <c:v>900</c:v>
                </c:pt>
                <c:pt idx="1">
                  <c:v>150</c:v>
                </c:pt>
                <c:pt idx="2">
                  <c:v>500</c:v>
                </c:pt>
                <c:pt idx="3">
                  <c:v>800</c:v>
                </c:pt>
                <c:pt idx="4">
                  <c:v>650</c:v>
                </c:pt>
                <c:pt idx="5">
                  <c:v>1000</c:v>
                </c:pt>
                <c:pt idx="6">
                  <c:v>3000</c:v>
                </c:pt>
                <c:pt idx="7">
                  <c:v>800</c:v>
                </c:pt>
                <c:pt idx="8">
                  <c:v>400</c:v>
                </c:pt>
                <c:pt idx="9">
                  <c:v>200</c:v>
                </c:pt>
                <c:pt idx="10">
                  <c:v>400</c:v>
                </c:pt>
              </c:numCache>
            </c:numRef>
          </c:val>
          <c:extLst>
            <c:ext xmlns:c16="http://schemas.microsoft.com/office/drawing/2014/chart" uri="{C3380CC4-5D6E-409C-BE32-E72D297353CC}">
              <c16:uniqueId val="{00000016-42EE-4FE5-AA71-B2C03B9F7F99}"/>
            </c:ext>
          </c:extLst>
        </c:ser>
        <c:ser>
          <c:idx val="1"/>
          <c:order val="1"/>
          <c:tx>
            <c:strRef>
              <c:f>Sheet1!$C$3</c:f>
              <c:strCache>
                <c:ptCount val="1"/>
                <c:pt idx="0">
                  <c:v>Sum of Actual spent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8-42EE-4FE5-AA71-B2C03B9F7F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A-42EE-4FE5-AA71-B2C03B9F7F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C-42EE-4FE5-AA71-B2C03B9F7F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E-42EE-4FE5-AA71-B2C03B9F7F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0-42EE-4FE5-AA71-B2C03B9F7F9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2-42EE-4FE5-AA71-B2C03B9F7F9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4-42EE-4FE5-AA71-B2C03B9F7F9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6-42EE-4FE5-AA71-B2C03B9F7F9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8-42EE-4FE5-AA71-B2C03B9F7F9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A-42EE-4FE5-AA71-B2C03B9F7F9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C-42EE-4FE5-AA71-B2C03B9F7F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Sheet1!$A$4:$A$26</c:f>
              <c:multiLvlStrCache>
                <c:ptCount val="11"/>
                <c:lvl>
                  <c:pt idx="0">
                    <c:v>January</c:v>
                  </c:pt>
                  <c:pt idx="1">
                    <c:v>January</c:v>
                  </c:pt>
                  <c:pt idx="2">
                    <c:v>January</c:v>
                  </c:pt>
                  <c:pt idx="3">
                    <c:v>January</c:v>
                  </c:pt>
                  <c:pt idx="4">
                    <c:v>January</c:v>
                  </c:pt>
                  <c:pt idx="5">
                    <c:v>January</c:v>
                  </c:pt>
                  <c:pt idx="6">
                    <c:v>January</c:v>
                  </c:pt>
                  <c:pt idx="7">
                    <c:v>January</c:v>
                  </c:pt>
                  <c:pt idx="8">
                    <c:v>January</c:v>
                  </c:pt>
                  <c:pt idx="9">
                    <c:v>January</c:v>
                  </c:pt>
                  <c:pt idx="10">
                    <c:v>January</c:v>
                  </c:pt>
                </c:lvl>
                <c:lvl>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lvl>
              </c:multiLvlStrCache>
            </c:multiLvlStrRef>
          </c:cat>
          <c:val>
            <c:numRef>
              <c:f>Sheet1!$C$4:$C$26</c:f>
              <c:numCache>
                <c:formatCode>General</c:formatCode>
                <c:ptCount val="11"/>
                <c:pt idx="0">
                  <c:v>700</c:v>
                </c:pt>
                <c:pt idx="1">
                  <c:v>100</c:v>
                </c:pt>
                <c:pt idx="2">
                  <c:v>250</c:v>
                </c:pt>
                <c:pt idx="3">
                  <c:v>730</c:v>
                </c:pt>
                <c:pt idx="4">
                  <c:v>550</c:v>
                </c:pt>
                <c:pt idx="5">
                  <c:v>500</c:v>
                </c:pt>
                <c:pt idx="6">
                  <c:v>2500</c:v>
                </c:pt>
                <c:pt idx="7">
                  <c:v>750</c:v>
                </c:pt>
                <c:pt idx="8">
                  <c:v>300</c:v>
                </c:pt>
                <c:pt idx="9">
                  <c:v>150</c:v>
                </c:pt>
                <c:pt idx="10">
                  <c:v>350</c:v>
                </c:pt>
              </c:numCache>
            </c:numRef>
          </c:val>
          <c:extLst>
            <c:ext xmlns:c16="http://schemas.microsoft.com/office/drawing/2014/chart" uri="{C3380CC4-5D6E-409C-BE32-E72D297353CC}">
              <c16:uniqueId val="{0000002D-42EE-4FE5-AA71-B2C03B9F7F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[Project-1.xlsx]Sheet1!PivotTable3</c:name>
    <c:fmtId val="2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6.9881201956673656E-3"/>
              <c:y val="-1.9290123456790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4.6587467971115773E-3"/>
              <c:y val="9.645061728395061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2.3293733985557457E-3"/>
              <c:y val="2.4112654320987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1.9290123456790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1.9290123456790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6.9881201956673656E-3"/>
              <c:y val="-1.9290123456790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4.6587467971115773E-3"/>
              <c:y val="9.645061728395061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2.3293733985557457E-3"/>
              <c:y val="2.4112654320987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1"/>
          </a:solidFill>
          <a:ln>
            <a:noFill/>
          </a:ln>
          <a:effectLst/>
        </c:spPr>
        <c:dLbl>
          <c:idx val="0"/>
          <c:layout>
            <c:manualLayout>
              <c:x val="0"/>
              <c:y val="-1.9290123456790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2"/>
          </a:solidFill>
          <a:ln>
            <a:noFill/>
          </a:ln>
          <a:effectLst/>
        </c:spPr>
        <c:dLbl>
          <c:idx val="0"/>
          <c:layout>
            <c:manualLayout>
              <c:x val="6.9881201956673656E-3"/>
              <c:y val="-1.9290123456790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2"/>
          </a:solidFill>
          <a:ln>
            <a:noFill/>
          </a:ln>
          <a:effectLst/>
        </c:spPr>
        <c:dLbl>
          <c:idx val="0"/>
          <c:layout>
            <c:manualLayout>
              <c:x val="4.6587467971115773E-3"/>
              <c:y val="9.645061728395061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2"/>
          </a:solidFill>
          <a:ln>
            <a:noFill/>
          </a:ln>
          <a:effectLst/>
        </c:spPr>
        <c:dLbl>
          <c:idx val="0"/>
          <c:layout>
            <c:manualLayout>
              <c:x val="2.3293733985557457E-3"/>
              <c:y val="2.4112654320987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4272889962977545"/>
          <c:y val="0.17009177044358817"/>
          <c:w val="0.38773949596240448"/>
          <c:h val="0.3929524766850952"/>
        </c:manualLayout>
      </c:layout>
      <c:barChart>
        <c:barDir val="col"/>
        <c:grouping val="clustered"/>
        <c:varyColors val="0"/>
        <c:ser>
          <c:idx val="0"/>
          <c:order val="0"/>
          <c:tx>
            <c:strRef>
              <c:f>Sheet1!$F$3</c:f>
              <c:strCache>
                <c:ptCount val="1"/>
                <c:pt idx="0">
                  <c:v>Sum of Monthly budget</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0-F377-4A7D-8412-E838B51F6C05}"/>
              </c:ext>
            </c:extLst>
          </c:dPt>
          <c:dLbls>
            <c:dLbl>
              <c:idx val="1"/>
              <c:layout>
                <c:manualLayout>
                  <c:x val="0"/>
                  <c:y val="-1.929012345679012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F377-4A7D-8412-E838B51F6C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Sheet1!$E$4:$E$15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Sheet1!$F$4:$F$15</c:f>
              <c:numCache>
                <c:formatCode>General</c:formatCode>
                <c:ptCount val="11"/>
                <c:pt idx="0">
                  <c:v>900</c:v>
                </c:pt>
                <c:pt idx="1">
                  <c:v>150</c:v>
                </c:pt>
                <c:pt idx="2">
                  <c:v>500</c:v>
                </c:pt>
                <c:pt idx="3">
                  <c:v>800</c:v>
                </c:pt>
                <c:pt idx="4">
                  <c:v>650</c:v>
                </c:pt>
                <c:pt idx="5">
                  <c:v>1000</c:v>
                </c:pt>
                <c:pt idx="6">
                  <c:v>3000</c:v>
                </c:pt>
                <c:pt idx="7">
                  <c:v>800</c:v>
                </c:pt>
                <c:pt idx="8">
                  <c:v>400</c:v>
                </c:pt>
                <c:pt idx="9">
                  <c:v>200</c:v>
                </c:pt>
                <c:pt idx="10">
                  <c:v>400</c:v>
                </c:pt>
              </c:numCache>
            </c:numRef>
          </c:val>
          <c:extLst>
            <c:ext xmlns:c16="http://schemas.microsoft.com/office/drawing/2014/chart" uri="{C3380CC4-5D6E-409C-BE32-E72D297353CC}">
              <c16:uniqueId val="{00000001-F377-4A7D-8412-E838B51F6C05}"/>
            </c:ext>
          </c:extLst>
        </c:ser>
        <c:ser>
          <c:idx val="1"/>
          <c:order val="1"/>
          <c:tx>
            <c:strRef>
              <c:f>Sheet1!$G$3</c:f>
              <c:strCache>
                <c:ptCount val="1"/>
                <c:pt idx="0">
                  <c:v>Sum of Remaining</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F377-4A7D-8412-E838B51F6C0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377-4A7D-8412-E838B51F6C05}"/>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4-F377-4A7D-8412-E838B51F6C05}"/>
              </c:ext>
            </c:extLst>
          </c:dPt>
          <c:dLbls>
            <c:dLbl>
              <c:idx val="0"/>
              <c:layout>
                <c:manualLayout>
                  <c:x val="6.9881201956673656E-3"/>
                  <c:y val="-1.929012345679012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F377-4A7D-8412-E838B51F6C05}"/>
                </c:ext>
              </c:extLst>
            </c:dLbl>
            <c:dLbl>
              <c:idx val="1"/>
              <c:layout>
                <c:manualLayout>
                  <c:x val="4.6587467971115773E-3"/>
                  <c:y val="9.6450617283950612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F377-4A7D-8412-E838B51F6C05}"/>
                </c:ext>
              </c:extLst>
            </c:dLbl>
            <c:dLbl>
              <c:idx val="2"/>
              <c:layout>
                <c:manualLayout>
                  <c:x val="2.3293733985557457E-3"/>
                  <c:y val="2.411265432098765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F377-4A7D-8412-E838B51F6C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Sheet1!$E$4:$E$15</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Sheet1!$G$4:$G$15</c:f>
              <c:numCache>
                <c:formatCode>General</c:formatCode>
                <c:ptCount val="11"/>
                <c:pt idx="0">
                  <c:v>200</c:v>
                </c:pt>
                <c:pt idx="1">
                  <c:v>50</c:v>
                </c:pt>
                <c:pt idx="2">
                  <c:v>250</c:v>
                </c:pt>
                <c:pt idx="3">
                  <c:v>70</c:v>
                </c:pt>
                <c:pt idx="4">
                  <c:v>100</c:v>
                </c:pt>
                <c:pt idx="5">
                  <c:v>500</c:v>
                </c:pt>
                <c:pt idx="6">
                  <c:v>500</c:v>
                </c:pt>
                <c:pt idx="7">
                  <c:v>50</c:v>
                </c:pt>
                <c:pt idx="8">
                  <c:v>100</c:v>
                </c:pt>
                <c:pt idx="9">
                  <c:v>50</c:v>
                </c:pt>
                <c:pt idx="10">
                  <c:v>50</c:v>
                </c:pt>
              </c:numCache>
            </c:numRef>
          </c:val>
          <c:extLst>
            <c:ext xmlns:c16="http://schemas.microsoft.com/office/drawing/2014/chart" uri="{C3380CC4-5D6E-409C-BE32-E72D297353CC}">
              <c16:uniqueId val="{00000005-F377-4A7D-8412-E838B51F6C05}"/>
            </c:ext>
          </c:extLst>
        </c:ser>
        <c:dLbls>
          <c:showLegendKey val="0"/>
          <c:showVal val="1"/>
          <c:showCatName val="0"/>
          <c:showSerName val="0"/>
          <c:showPercent val="0"/>
          <c:showBubbleSize val="0"/>
        </c:dLbls>
        <c:gapWidth val="150"/>
        <c:axId val="1321113135"/>
        <c:axId val="1321126863"/>
      </c:barChart>
      <c:catAx>
        <c:axId val="13211131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26863"/>
        <c:crosses val="autoZero"/>
        <c:auto val="1"/>
        <c:lblAlgn val="ctr"/>
        <c:lblOffset val="100"/>
        <c:noMultiLvlLbl val="0"/>
      </c:catAx>
      <c:valAx>
        <c:axId val="13211268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131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[Project-1.xlsx]Sheet1!PivotTable4</c:name>
    <c:fmtId val="8"/>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1161210655754647"/>
          <c:y val="0.19109058218116437"/>
          <c:w val="0.51298775153105858"/>
          <c:h val="0.46265055409740447"/>
        </c:manualLayout>
      </c:layout>
      <c:lineChart>
        <c:grouping val="standard"/>
        <c:varyColors val="0"/>
        <c:ser>
          <c:idx val="0"/>
          <c:order val="0"/>
          <c:tx>
            <c:strRef>
              <c:f>Sheet1!$J$4</c:f>
              <c:strCache>
                <c:ptCount val="1"/>
                <c:pt idx="0">
                  <c:v>Sum of Monthly budget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Sheet1!$I$5:$I$16</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Sheet1!$J$5:$J$16</c:f>
              <c:numCache>
                <c:formatCode>General</c:formatCode>
                <c:ptCount val="11"/>
                <c:pt idx="0">
                  <c:v>900</c:v>
                </c:pt>
                <c:pt idx="1">
                  <c:v>150</c:v>
                </c:pt>
                <c:pt idx="2">
                  <c:v>500</c:v>
                </c:pt>
                <c:pt idx="3">
                  <c:v>800</c:v>
                </c:pt>
                <c:pt idx="4">
                  <c:v>650</c:v>
                </c:pt>
                <c:pt idx="5">
                  <c:v>1000</c:v>
                </c:pt>
                <c:pt idx="6">
                  <c:v>3000</c:v>
                </c:pt>
                <c:pt idx="7">
                  <c:v>800</c:v>
                </c:pt>
                <c:pt idx="8">
                  <c:v>400</c:v>
                </c:pt>
                <c:pt idx="9">
                  <c:v>200</c:v>
                </c:pt>
                <c:pt idx="10">
                  <c:v>400</c:v>
                </c:pt>
              </c:numCache>
            </c:numRef>
          </c:val>
          <c:smooth val="0"/>
          <c:extLst>
            <c:ext xmlns:c16="http://schemas.microsoft.com/office/drawing/2014/chart" uri="{C3380CC4-5D6E-409C-BE32-E72D297353CC}">
              <c16:uniqueId val="{00000000-BB82-40DF-BF50-F6FB1FE31096}"/>
            </c:ext>
          </c:extLst>
        </c:ser>
        <c:ser>
          <c:idx val="1"/>
          <c:order val="1"/>
          <c:tx>
            <c:strRef>
              <c:f>Sheet1!$K$4</c:f>
              <c:strCache>
                <c:ptCount val="1"/>
                <c:pt idx="0">
                  <c:v>Sum of Actual spent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Sheet1!$I$5:$I$16</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Sheet1!$K$5:$K$16</c:f>
              <c:numCache>
                <c:formatCode>General</c:formatCode>
                <c:ptCount val="11"/>
                <c:pt idx="0">
                  <c:v>700</c:v>
                </c:pt>
                <c:pt idx="1">
                  <c:v>100</c:v>
                </c:pt>
                <c:pt idx="2">
                  <c:v>250</c:v>
                </c:pt>
                <c:pt idx="3">
                  <c:v>730</c:v>
                </c:pt>
                <c:pt idx="4">
                  <c:v>550</c:v>
                </c:pt>
                <c:pt idx="5">
                  <c:v>500</c:v>
                </c:pt>
                <c:pt idx="6">
                  <c:v>2500</c:v>
                </c:pt>
                <c:pt idx="7">
                  <c:v>750</c:v>
                </c:pt>
                <c:pt idx="8">
                  <c:v>300</c:v>
                </c:pt>
                <c:pt idx="9">
                  <c:v>150</c:v>
                </c:pt>
                <c:pt idx="10">
                  <c:v>350</c:v>
                </c:pt>
              </c:numCache>
            </c:numRef>
          </c:val>
          <c:smooth val="0"/>
          <c:extLst>
            <c:ext xmlns:c16="http://schemas.microsoft.com/office/drawing/2014/chart" uri="{C3380CC4-5D6E-409C-BE32-E72D297353CC}">
              <c16:uniqueId val="{00000001-BB82-40DF-BF50-F6FB1FE31096}"/>
            </c:ext>
          </c:extLst>
        </c:ser>
        <c:dLbls>
          <c:showLegendKey val="0"/>
          <c:showVal val="0"/>
          <c:showCatName val="0"/>
          <c:showSerName val="0"/>
          <c:showPercent val="0"/>
          <c:showBubbleSize val="0"/>
        </c:dLbls>
        <c:marker val="1"/>
        <c:smooth val="0"/>
        <c:axId val="1542635279"/>
        <c:axId val="1542619887"/>
      </c:lineChart>
      <c:catAx>
        <c:axId val="154263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619887"/>
        <c:crosses val="autoZero"/>
        <c:auto val="1"/>
        <c:lblAlgn val="ctr"/>
        <c:lblOffset val="100"/>
        <c:noMultiLvlLbl val="0"/>
      </c:catAx>
      <c:valAx>
        <c:axId val="1542619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6352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[Project-1.xlsx]Sheet1!PivotTable5</c:name>
    <c:fmtId val="17"/>
  </c:pivotSource>
  <c:chart>
    <c:autoTitleDeleted val="1"/>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Sheet1!$N$5</c:f>
              <c:strCache>
                <c:ptCount val="1"/>
                <c:pt idx="0">
                  <c:v>Sum of Monthly budget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5FE-4C44-9019-3E12082AB5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5FE-4C44-9019-3E12082AB57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5FE-4C44-9019-3E12082AB57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5FE-4C44-9019-3E12082AB57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5FE-4C44-9019-3E12082AB57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5FE-4C44-9019-3E12082AB57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5FE-4C44-9019-3E12082AB57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5FE-4C44-9019-3E12082AB57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5FE-4C44-9019-3E12082AB57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5FE-4C44-9019-3E12082AB57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5FE-4C44-9019-3E12082AB5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Sheet1!$M$6:$M$17</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Sheet1!$N$6:$N$17</c:f>
              <c:numCache>
                <c:formatCode>General</c:formatCode>
                <c:ptCount val="11"/>
                <c:pt idx="0">
                  <c:v>900</c:v>
                </c:pt>
                <c:pt idx="1">
                  <c:v>150</c:v>
                </c:pt>
                <c:pt idx="2">
                  <c:v>500</c:v>
                </c:pt>
                <c:pt idx="3">
                  <c:v>800</c:v>
                </c:pt>
                <c:pt idx="4">
                  <c:v>650</c:v>
                </c:pt>
                <c:pt idx="5">
                  <c:v>1000</c:v>
                </c:pt>
                <c:pt idx="6">
                  <c:v>3000</c:v>
                </c:pt>
                <c:pt idx="7">
                  <c:v>800</c:v>
                </c:pt>
                <c:pt idx="8">
                  <c:v>400</c:v>
                </c:pt>
                <c:pt idx="9">
                  <c:v>200</c:v>
                </c:pt>
                <c:pt idx="10">
                  <c:v>400</c:v>
                </c:pt>
              </c:numCache>
            </c:numRef>
          </c:val>
          <c:extLst>
            <c:ext xmlns:c16="http://schemas.microsoft.com/office/drawing/2014/chart" uri="{C3380CC4-5D6E-409C-BE32-E72D297353CC}">
              <c16:uniqueId val="{00000016-C5FE-4C44-9019-3E12082AB57E}"/>
            </c:ext>
          </c:extLst>
        </c:ser>
        <c:ser>
          <c:idx val="1"/>
          <c:order val="1"/>
          <c:tx>
            <c:strRef>
              <c:f>Sheet1!$O$5</c:f>
              <c:strCache>
                <c:ptCount val="1"/>
                <c:pt idx="0">
                  <c:v>Sum of Actual spent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C5FE-4C44-9019-3E12082AB5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C5FE-4C44-9019-3E12082AB57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C5FE-4C44-9019-3E12082AB57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C5FE-4C44-9019-3E12082AB57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C5FE-4C44-9019-3E12082AB57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C5FE-4C44-9019-3E12082AB57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C5FE-4C44-9019-3E12082AB57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C5FE-4C44-9019-3E12082AB57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C5FE-4C44-9019-3E12082AB57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A-C5FE-4C44-9019-3E12082AB57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C5FE-4C44-9019-3E12082AB5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Sheet1!$M$6:$M$17</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Sheet1!$O$6:$O$17</c:f>
              <c:numCache>
                <c:formatCode>General</c:formatCode>
                <c:ptCount val="11"/>
                <c:pt idx="0">
                  <c:v>700</c:v>
                </c:pt>
                <c:pt idx="1">
                  <c:v>100</c:v>
                </c:pt>
                <c:pt idx="2">
                  <c:v>250</c:v>
                </c:pt>
                <c:pt idx="3">
                  <c:v>730</c:v>
                </c:pt>
                <c:pt idx="4">
                  <c:v>550</c:v>
                </c:pt>
                <c:pt idx="5">
                  <c:v>500</c:v>
                </c:pt>
                <c:pt idx="6">
                  <c:v>2500</c:v>
                </c:pt>
                <c:pt idx="7">
                  <c:v>750</c:v>
                </c:pt>
                <c:pt idx="8">
                  <c:v>300</c:v>
                </c:pt>
                <c:pt idx="9">
                  <c:v>150</c:v>
                </c:pt>
                <c:pt idx="10">
                  <c:v>350</c:v>
                </c:pt>
              </c:numCache>
            </c:numRef>
          </c:val>
          <c:extLst>
            <c:ext xmlns:c16="http://schemas.microsoft.com/office/drawing/2014/chart" uri="{C3380CC4-5D6E-409C-BE32-E72D297353CC}">
              <c16:uniqueId val="{0000002D-C5FE-4C44-9019-3E12082AB57E}"/>
            </c:ext>
          </c:extLst>
        </c:ser>
        <c:ser>
          <c:idx val="2"/>
          <c:order val="2"/>
          <c:tx>
            <c:strRef>
              <c:f>Sheet1!$P$5</c:f>
              <c:strCache>
                <c:ptCount val="1"/>
                <c:pt idx="0">
                  <c:v>Sum of Remaining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5FE-4C44-9019-3E12082AB5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5FE-4C44-9019-3E12082AB57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5FE-4C44-9019-3E12082AB57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5FE-4C44-9019-3E12082AB57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5FE-4C44-9019-3E12082AB57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5FE-4C44-9019-3E12082AB57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5FE-4C44-9019-3E12082AB57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5FE-4C44-9019-3E12082AB57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5FE-4C44-9019-3E12082AB57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C5FE-4C44-9019-3E12082AB57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C5FE-4C44-9019-3E12082AB5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Sheet1!$M$6:$M$17</c:f>
              <c:strCache>
                <c:ptCount val="11"/>
                <c:pt idx="0">
                  <c:v>Education</c:v>
                </c:pt>
                <c:pt idx="1">
                  <c:v>Entertainment</c:v>
                </c:pt>
                <c:pt idx="2">
                  <c:v>Food</c:v>
                </c:pt>
                <c:pt idx="3">
                  <c:v>Freelance</c:v>
                </c:pt>
                <c:pt idx="4">
                  <c:v>Healthcare</c:v>
                </c:pt>
                <c:pt idx="5">
                  <c:v>Rent</c:v>
                </c:pt>
                <c:pt idx="6">
                  <c:v>Salary</c:v>
                </c:pt>
                <c:pt idx="7">
                  <c:v>Savings</c:v>
                </c:pt>
                <c:pt idx="8">
                  <c:v>shopping</c:v>
                </c:pt>
                <c:pt idx="9">
                  <c:v>Transport</c:v>
                </c:pt>
                <c:pt idx="10">
                  <c:v>Utilities</c:v>
                </c:pt>
              </c:strCache>
            </c:strRef>
          </c:cat>
          <c:val>
            <c:numRef>
              <c:f>Sheet1!$P$6:$P$17</c:f>
              <c:numCache>
                <c:formatCode>General</c:formatCode>
                <c:ptCount val="11"/>
                <c:pt idx="0">
                  <c:v>200</c:v>
                </c:pt>
                <c:pt idx="1">
                  <c:v>50</c:v>
                </c:pt>
                <c:pt idx="2">
                  <c:v>250</c:v>
                </c:pt>
                <c:pt idx="3">
                  <c:v>70</c:v>
                </c:pt>
                <c:pt idx="4">
                  <c:v>100</c:v>
                </c:pt>
                <c:pt idx="5">
                  <c:v>500</c:v>
                </c:pt>
                <c:pt idx="6">
                  <c:v>500</c:v>
                </c:pt>
                <c:pt idx="7">
                  <c:v>50</c:v>
                </c:pt>
                <c:pt idx="8">
                  <c:v>100</c:v>
                </c:pt>
                <c:pt idx="9">
                  <c:v>50</c:v>
                </c:pt>
                <c:pt idx="10">
                  <c:v>50</c:v>
                </c:pt>
              </c:numCache>
            </c:numRef>
          </c:val>
          <c:extLst>
            <c:ext xmlns:c16="http://schemas.microsoft.com/office/drawing/2014/chart" uri="{C3380CC4-5D6E-409C-BE32-E72D297353CC}">
              <c16:uniqueId val="{00000044-C5FE-4C44-9019-3E12082AB57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108856</xdr:colOff>
      <xdr:row>29</xdr:row>
      <xdr:rowOff>139959</xdr:rowOff>
    </xdr:from>
    <xdr:to>
      <xdr:col>3</xdr:col>
      <xdr:colOff>124408</xdr:colOff>
      <xdr:row>38</xdr:row>
      <xdr:rowOff>77753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567304</xdr:colOff>
      <xdr:row>16</xdr:row>
      <xdr:rowOff>75889</xdr:rowOff>
    </xdr:from>
    <xdr:to>
      <xdr:col>7</xdr:col>
      <xdr:colOff>178681</xdr:colOff>
      <xdr:row>28</xdr:row>
      <xdr:rowOff>30169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556260</xdr:colOff>
      <xdr:row>16</xdr:row>
      <xdr:rowOff>121920</xdr:rowOff>
    </xdr:from>
    <xdr:to>
      <xdr:col>11</xdr:col>
      <xdr:colOff>91440</xdr:colOff>
      <xdr:row>28</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68580</xdr:colOff>
      <xdr:row>17</xdr:row>
      <xdr:rowOff>114300</xdr:rowOff>
    </xdr:from>
    <xdr:to>
      <xdr:col>15</xdr:col>
      <xdr:colOff>1242060</xdr:colOff>
      <xdr:row>28</xdr:row>
      <xdr:rowOff>45720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333665</xdr:colOff>
      <xdr:row>30</xdr:row>
      <xdr:rowOff>168173</xdr:rowOff>
    </xdr:from>
    <xdr:to>
      <xdr:col>8</xdr:col>
      <xdr:colOff>38331</xdr:colOff>
      <xdr:row>44</xdr:row>
      <xdr:rowOff>87566</xdr:rowOff>
    </xdr:to>
    <mc:AlternateContent xmlns:mc="http://schemas.openxmlformats.org/markup-compatibility/2006" xmlns:a14="http://schemas.microsoft.com/office/drawing/2010/main">
      <mc:Choice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33583" y="5611030"/>
              <a:ext cx="1840173" cy="2531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30138</xdr:colOff>
      <xdr:row>30</xdr:row>
      <xdr:rowOff>47312</xdr:rowOff>
    </xdr:from>
    <xdr:to>
      <xdr:col>5</xdr:col>
      <xdr:colOff>640243</xdr:colOff>
      <xdr:row>43</xdr:row>
      <xdr:rowOff>148676</xdr:rowOff>
    </xdr:to>
    <mc:AlternateContent xmlns:mc="http://schemas.openxmlformats.org/markup-compatibility/2006" xmlns:a14="http://schemas.microsoft.com/office/drawing/2010/main">
      <mc:Choice Requires="a14">
        <xdr:graphicFrame macro="">
          <xdr:nvGraphicFramePr>
            <xdr:cNvPr id="7" name="Remaining"/>
            <xdr:cNvGraphicFramePr/>
          </xdr:nvGraphicFramePr>
          <xdr:xfrm>
            <a:off x="0" y="0"/>
            <a:ext cx="0" cy="0"/>
          </xdr:xfrm>
          <a:graphic>
            <a:graphicData uri="http://schemas.microsoft.com/office/drawing/2010/slicer">
              <sle:slicer xmlns:sle="http://schemas.microsoft.com/office/drawing/2010/slicer" name="Remaining"/>
            </a:graphicData>
          </a:graphic>
        </xdr:graphicFrame>
      </mc:Choice>
      <mc:Fallback xmlns="">
        <xdr:sp macro="" textlink="">
          <xdr:nvSpPr>
            <xdr:cNvPr id="0" name=""/>
            <xdr:cNvSpPr>
              <a:spLocks noTextEdit="1"/>
            </xdr:cNvSpPr>
          </xdr:nvSpPr>
          <xdr:spPr>
            <a:xfrm>
              <a:off x="5768465" y="5490169"/>
              <a:ext cx="1818820" cy="2527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559837</xdr:colOff>
      <xdr:row>30</xdr:row>
      <xdr:rowOff>155511</xdr:rowOff>
    </xdr:from>
    <xdr:to>
      <xdr:col>9</xdr:col>
      <xdr:colOff>1640381</xdr:colOff>
      <xdr:row>44</xdr:row>
      <xdr:rowOff>93306</xdr:rowOff>
    </xdr:to>
    <mc:AlternateContent xmlns:mc="http://schemas.openxmlformats.org/markup-compatibility/2006" xmlns:a14="http://schemas.microsoft.com/office/drawing/2010/main">
      <mc:Choice Requires="a14">
        <xdr:graphicFrame macro="">
          <xdr:nvGraphicFramePr>
            <xdr:cNvPr id="9" name="Actual spent"/>
            <xdr:cNvGraphicFramePr/>
          </xdr:nvGraphicFramePr>
          <xdr:xfrm>
            <a:off x="0" y="0"/>
            <a:ext cx="0" cy="0"/>
          </xdr:xfrm>
          <a:graphic>
            <a:graphicData uri="http://schemas.microsoft.com/office/drawing/2010/slicer">
              <sle:slicer xmlns:sle="http://schemas.microsoft.com/office/drawing/2010/slicer" name="Actual spent"/>
            </a:graphicData>
          </a:graphic>
        </xdr:graphicFrame>
      </mc:Choice>
      <mc:Fallback xmlns="">
        <xdr:sp macro="" textlink="">
          <xdr:nvSpPr>
            <xdr:cNvPr id="0" name=""/>
            <xdr:cNvSpPr>
              <a:spLocks noTextEdit="1"/>
            </xdr:cNvSpPr>
          </xdr:nvSpPr>
          <xdr:spPr>
            <a:xfrm>
              <a:off x="10496939" y="5598368"/>
              <a:ext cx="2301550" cy="2550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84322</xdr:rowOff>
    </xdr:from>
    <xdr:to>
      <xdr:col>20</xdr:col>
      <xdr:colOff>309217</xdr:colOff>
      <xdr:row>5</xdr:row>
      <xdr:rowOff>21238</xdr:rowOff>
    </xdr:to>
    <xdr:sp macro="" textlink="">
      <xdr:nvSpPr>
        <xdr:cNvPr id="2" name="Rounded Rectangle 1"/>
        <xdr:cNvSpPr/>
      </xdr:nvSpPr>
      <xdr:spPr>
        <a:xfrm>
          <a:off x="0" y="84322"/>
          <a:ext cx="13462000" cy="875612"/>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15240</xdr:colOff>
      <xdr:row>0</xdr:row>
      <xdr:rowOff>175260</xdr:rowOff>
    </xdr:from>
    <xdr:to>
      <xdr:col>13</xdr:col>
      <xdr:colOff>441960</xdr:colOff>
      <xdr:row>3</xdr:row>
      <xdr:rowOff>91440</xdr:rowOff>
    </xdr:to>
    <xdr:sp macro="" textlink="">
      <xdr:nvSpPr>
        <xdr:cNvPr id="3" name="TextBox 2"/>
        <xdr:cNvSpPr txBox="1"/>
      </xdr:nvSpPr>
      <xdr:spPr>
        <a:xfrm>
          <a:off x="4678680" y="175260"/>
          <a:ext cx="4693920" cy="464820"/>
        </a:xfrm>
        <a:prstGeom prst="rect">
          <a:avLst/>
        </a:prstGeom>
        <a:ln>
          <a:no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wrap="square" rtlCol="0" anchor="t"/>
        <a:lstStyle/>
        <a:p>
          <a:r>
            <a:rPr lang="en-IN" sz="2000">
              <a:solidFill>
                <a:schemeClr val="accent5">
                  <a:lumMod val="50000"/>
                </a:schemeClr>
              </a:solidFill>
            </a:rPr>
            <a:t>PERSONAL FINANCE BUDGET DASHBOARD</a:t>
          </a:r>
        </a:p>
      </xdr:txBody>
    </xdr:sp>
    <xdr:clientData/>
  </xdr:twoCellAnchor>
  <xdr:twoCellAnchor editAs="oneCell">
    <xdr:from>
      <xdr:col>15</xdr:col>
      <xdr:colOff>143565</xdr:colOff>
      <xdr:row>20</xdr:row>
      <xdr:rowOff>32072</xdr:rowOff>
    </xdr:from>
    <xdr:to>
      <xdr:col>19</xdr:col>
      <xdr:colOff>364435</xdr:colOff>
      <xdr:row>33</xdr:row>
      <xdr:rowOff>121479</xdr:rowOff>
    </xdr:to>
    <mc:AlternateContent xmlns:mc="http://schemas.openxmlformats.org/markup-compatibility/2006">
      <mc:Choice xmlns:a14="http://schemas.microsoft.com/office/drawing/2010/main" Requires="a14">
        <xdr:graphicFrame macro="">
          <xdr:nvGraphicFramePr>
            <xdr:cNvPr id="4" name="Remaining 1"/>
            <xdr:cNvGraphicFramePr/>
          </xdr:nvGraphicFramePr>
          <xdr:xfrm>
            <a:off x="0" y="0"/>
            <a:ext cx="0" cy="0"/>
          </xdr:xfrm>
          <a:graphic>
            <a:graphicData uri="http://schemas.microsoft.com/office/drawing/2010/slicer">
              <sle:slicer xmlns:sle="http://schemas.microsoft.com/office/drawing/2010/slicer" name="Remaining 1"/>
            </a:graphicData>
          </a:graphic>
        </xdr:graphicFrame>
      </mc:Choice>
      <mc:Fallback>
        <xdr:sp macro="" textlink="">
          <xdr:nvSpPr>
            <xdr:cNvPr id="0" name=""/>
            <xdr:cNvSpPr>
              <a:spLocks noTextEdit="1"/>
            </xdr:cNvSpPr>
          </xdr:nvSpPr>
          <xdr:spPr>
            <a:xfrm>
              <a:off x="10259391" y="3786855"/>
              <a:ext cx="2650435" cy="2530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131716</xdr:colOff>
      <xdr:row>8</xdr:row>
      <xdr:rowOff>144780</xdr:rowOff>
    </xdr:from>
    <xdr:to>
      <xdr:col>3</xdr:col>
      <xdr:colOff>396240</xdr:colOff>
      <xdr:row>19</xdr:row>
      <xdr:rowOff>38099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746760</xdr:colOff>
      <xdr:row>8</xdr:row>
      <xdr:rowOff>144780</xdr:rowOff>
    </xdr:from>
    <xdr:to>
      <xdr:col>12</xdr:col>
      <xdr:colOff>601980</xdr:colOff>
      <xdr:row>18</xdr:row>
      <xdr:rowOff>152400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320040</xdr:colOff>
      <xdr:row>8</xdr:row>
      <xdr:rowOff>91440</xdr:rowOff>
    </xdr:from>
    <xdr:to>
      <xdr:col>19</xdr:col>
      <xdr:colOff>403860</xdr:colOff>
      <xdr:row>19</xdr:row>
      <xdr:rowOff>15240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243840</xdr:colOff>
      <xdr:row>20</xdr:row>
      <xdr:rowOff>144780</xdr:rowOff>
    </xdr:from>
    <xdr:to>
      <xdr:col>5</xdr:col>
      <xdr:colOff>434340</xdr:colOff>
      <xdr:row>32</xdr:row>
      <xdr:rowOff>160020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519043</xdr:colOff>
      <xdr:row>20</xdr:row>
      <xdr:rowOff>533</xdr:rowOff>
    </xdr:from>
    <xdr:to>
      <xdr:col>14</xdr:col>
      <xdr:colOff>364435</xdr:colOff>
      <xdr:row>33</xdr:row>
      <xdr:rowOff>121920</xdr:rowOff>
    </xdr:to>
    <mc:AlternateContent xmlns:mc="http://schemas.openxmlformats.org/markup-compatibility/2006">
      <mc:Choice xmlns:a14="http://schemas.microsoft.com/office/drawing/2010/main" Requires="a14">
        <xdr:graphicFrame macro="">
          <xdr:nvGraphicFramePr>
            <xdr:cNvPr id="9"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597913" y="3755316"/>
              <a:ext cx="2274957" cy="2561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187739</xdr:colOff>
      <xdr:row>19</xdr:row>
      <xdr:rowOff>155511</xdr:rowOff>
    </xdr:from>
    <xdr:to>
      <xdr:col>10</xdr:col>
      <xdr:colOff>198782</xdr:colOff>
      <xdr:row>33</xdr:row>
      <xdr:rowOff>93306</xdr:rowOff>
    </xdr:to>
    <mc:AlternateContent xmlns:mc="http://schemas.openxmlformats.org/markup-compatibility/2006">
      <mc:Choice xmlns:a14="http://schemas.microsoft.com/office/drawing/2010/main" Requires="a14">
        <xdr:graphicFrame macro="">
          <xdr:nvGraphicFramePr>
            <xdr:cNvPr id="10" name="Actual spent 1"/>
            <xdr:cNvGraphicFramePr/>
          </xdr:nvGraphicFramePr>
          <xdr:xfrm>
            <a:off x="0" y="0"/>
            <a:ext cx="0" cy="0"/>
          </xdr:xfrm>
          <a:graphic>
            <a:graphicData uri="http://schemas.microsoft.com/office/drawing/2010/slicer">
              <sle:slicer xmlns:sle="http://schemas.microsoft.com/office/drawing/2010/slicer" name="Actual spent 1"/>
            </a:graphicData>
          </a:graphic>
        </xdr:graphicFrame>
      </mc:Choice>
      <mc:Fallback>
        <xdr:sp macro="" textlink="">
          <xdr:nvSpPr>
            <xdr:cNvPr id="0" name=""/>
            <xdr:cNvSpPr>
              <a:spLocks noTextEdit="1"/>
            </xdr:cNvSpPr>
          </xdr:nvSpPr>
          <xdr:spPr>
            <a:xfrm>
              <a:off x="4837043" y="3722554"/>
              <a:ext cx="2440609" cy="2566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275102</xdr:colOff>
      <xdr:row>2</xdr:row>
      <xdr:rowOff>93785</xdr:rowOff>
    </xdr:from>
    <xdr:to>
      <xdr:col>2</xdr:col>
      <xdr:colOff>1119749</xdr:colOff>
      <xdr:row>7</xdr:row>
      <xdr:rowOff>17585</xdr:rowOff>
    </xdr:to>
    <xdr:sp macro="" textlink="">
      <xdr:nvSpPr>
        <xdr:cNvPr id="15" name="Oval 14"/>
        <xdr:cNvSpPr/>
      </xdr:nvSpPr>
      <xdr:spPr>
        <a:xfrm>
          <a:off x="275102" y="465016"/>
          <a:ext cx="2407724" cy="851877"/>
        </a:xfrm>
        <a:prstGeom prst="ellipse">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695739</xdr:colOff>
      <xdr:row>3</xdr:row>
      <xdr:rowOff>91440</xdr:rowOff>
    </xdr:from>
    <xdr:to>
      <xdr:col>2</xdr:col>
      <xdr:colOff>595923</xdr:colOff>
      <xdr:row>6</xdr:row>
      <xdr:rowOff>55217</xdr:rowOff>
    </xdr:to>
    <xdr:sp macro="" textlink="">
      <xdr:nvSpPr>
        <xdr:cNvPr id="16" name="TextBox 15"/>
        <xdr:cNvSpPr txBox="1"/>
      </xdr:nvSpPr>
      <xdr:spPr>
        <a:xfrm>
          <a:off x="695739" y="654657"/>
          <a:ext cx="1457314" cy="52699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r>
            <a:rPr lang="en-IN" sz="1200" b="1" i="1" u="none">
              <a:solidFill>
                <a:schemeClr val="tx1">
                  <a:lumMod val="85000"/>
                  <a:lumOff val="15000"/>
                </a:schemeClr>
              </a:solidFill>
            </a:rPr>
            <a:t>MONTHLY BUDGET</a:t>
          </a:r>
        </a:p>
        <a:p>
          <a:pPr algn="ctr"/>
          <a:r>
            <a:rPr lang="en-IN" sz="1200" b="1" i="1" u="none">
              <a:solidFill>
                <a:schemeClr val="tx1">
                  <a:lumMod val="85000"/>
                  <a:lumOff val="15000"/>
                </a:schemeClr>
              </a:solidFill>
            </a:rPr>
            <a:t>88%</a:t>
          </a:r>
        </a:p>
      </xdr:txBody>
    </xdr:sp>
    <xdr:clientData/>
  </xdr:twoCellAnchor>
  <xdr:twoCellAnchor>
    <xdr:from>
      <xdr:col>6</xdr:col>
      <xdr:colOff>282153</xdr:colOff>
      <xdr:row>3</xdr:row>
      <xdr:rowOff>10516</xdr:rowOff>
    </xdr:from>
    <xdr:to>
      <xdr:col>10</xdr:col>
      <xdr:colOff>213573</xdr:colOff>
      <xdr:row>7</xdr:row>
      <xdr:rowOff>111700</xdr:rowOff>
    </xdr:to>
    <xdr:sp macro="" textlink="">
      <xdr:nvSpPr>
        <xdr:cNvPr id="17" name="Oval 16"/>
        <xdr:cNvSpPr/>
      </xdr:nvSpPr>
      <xdr:spPr>
        <a:xfrm>
          <a:off x="4931457" y="573733"/>
          <a:ext cx="2360986" cy="852141"/>
        </a:xfrm>
        <a:prstGeom prst="ellipse">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127001</xdr:colOff>
      <xdr:row>4</xdr:row>
      <xdr:rowOff>9769</xdr:rowOff>
    </xdr:from>
    <xdr:to>
      <xdr:col>9</xdr:col>
      <xdr:colOff>322385</xdr:colOff>
      <xdr:row>6</xdr:row>
      <xdr:rowOff>154609</xdr:rowOff>
    </xdr:to>
    <xdr:sp macro="" textlink="">
      <xdr:nvSpPr>
        <xdr:cNvPr id="19" name="TextBox 18"/>
        <xdr:cNvSpPr txBox="1"/>
      </xdr:nvSpPr>
      <xdr:spPr>
        <a:xfrm>
          <a:off x="5383697" y="760726"/>
          <a:ext cx="1410166" cy="520318"/>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lvl="0" algn="ctr"/>
          <a:r>
            <a:rPr lang="en-IN" sz="1200" b="1" i="1">
              <a:solidFill>
                <a:schemeClr val="tx1">
                  <a:lumMod val="85000"/>
                  <a:lumOff val="15000"/>
                </a:schemeClr>
              </a:solidFill>
            </a:rPr>
            <a:t>ACTUAL SPENT</a:t>
          </a:r>
        </a:p>
        <a:p>
          <a:pPr lvl="0" algn="ctr"/>
          <a:r>
            <a:rPr lang="en-IN" sz="1200" b="1" i="1">
              <a:solidFill>
                <a:schemeClr val="tx1">
                  <a:lumMod val="85000"/>
                  <a:lumOff val="15000"/>
                </a:schemeClr>
              </a:solidFill>
            </a:rPr>
            <a:t>68.8%</a:t>
          </a:r>
        </a:p>
        <a:p>
          <a:pPr lvl="0" algn="ctr"/>
          <a:endParaRPr lang="en-IN" sz="1200" b="1" i="1">
            <a:solidFill>
              <a:schemeClr val="tx1">
                <a:lumMod val="85000"/>
                <a:lumOff val="15000"/>
              </a:schemeClr>
            </a:solidFill>
          </a:endParaRPr>
        </a:p>
      </xdr:txBody>
    </xdr:sp>
    <xdr:clientData/>
  </xdr:twoCellAnchor>
  <xdr:twoCellAnchor>
    <xdr:from>
      <xdr:col>16</xdr:col>
      <xdr:colOff>474870</xdr:colOff>
      <xdr:row>3</xdr:row>
      <xdr:rowOff>66262</xdr:rowOff>
    </xdr:from>
    <xdr:to>
      <xdr:col>19</xdr:col>
      <xdr:colOff>77305</xdr:colOff>
      <xdr:row>6</xdr:row>
      <xdr:rowOff>11044</xdr:rowOff>
    </xdr:to>
    <xdr:sp macro="" textlink="">
      <xdr:nvSpPr>
        <xdr:cNvPr id="21" name="TextBox 20"/>
        <xdr:cNvSpPr txBox="1"/>
      </xdr:nvSpPr>
      <xdr:spPr>
        <a:xfrm>
          <a:off x="11198087" y="629479"/>
          <a:ext cx="1424609" cy="5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200" b="1" i="1"/>
        </a:p>
      </xdr:txBody>
    </xdr:sp>
    <xdr:clientData/>
  </xdr:twoCellAnchor>
  <xdr:twoCellAnchor>
    <xdr:from>
      <xdr:col>16</xdr:col>
      <xdr:colOff>22087</xdr:colOff>
      <xdr:row>2</xdr:row>
      <xdr:rowOff>77305</xdr:rowOff>
    </xdr:from>
    <xdr:to>
      <xdr:col>19</xdr:col>
      <xdr:colOff>541130</xdr:colOff>
      <xdr:row>7</xdr:row>
      <xdr:rowOff>22088</xdr:rowOff>
    </xdr:to>
    <xdr:sp macro="" textlink="">
      <xdr:nvSpPr>
        <xdr:cNvPr id="11" name="Oval 10"/>
        <xdr:cNvSpPr/>
      </xdr:nvSpPr>
      <xdr:spPr>
        <a:xfrm>
          <a:off x="10745304" y="452783"/>
          <a:ext cx="2341217" cy="883479"/>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596348</xdr:colOff>
      <xdr:row>3</xdr:row>
      <xdr:rowOff>0</xdr:rowOff>
    </xdr:from>
    <xdr:to>
      <xdr:col>19</xdr:col>
      <xdr:colOff>77305</xdr:colOff>
      <xdr:row>6</xdr:row>
      <xdr:rowOff>121478</xdr:rowOff>
    </xdr:to>
    <xdr:sp macro="" textlink="">
      <xdr:nvSpPr>
        <xdr:cNvPr id="12" name="TextBox 11"/>
        <xdr:cNvSpPr txBox="1"/>
      </xdr:nvSpPr>
      <xdr:spPr>
        <a:xfrm>
          <a:off x="11319565" y="563217"/>
          <a:ext cx="1303131" cy="684696"/>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N" sz="1400" b="1" i="1">
              <a:solidFill>
                <a:sysClr val="windowText" lastClr="000000"/>
              </a:solidFill>
            </a:rPr>
            <a:t>REMAINING</a:t>
          </a:r>
          <a:r>
            <a:rPr lang="en-IN" sz="1400" b="1" i="1" baseline="0">
              <a:solidFill>
                <a:sysClr val="windowText" lastClr="000000"/>
              </a:solidFill>
            </a:rPr>
            <a:t> </a:t>
          </a:r>
          <a:endParaRPr lang="en-IN" sz="1400" b="1" i="1">
            <a:solidFill>
              <a:sysClr val="windowText" lastClr="000000"/>
            </a:solidFill>
          </a:endParaRPr>
        </a:p>
        <a:p>
          <a:pPr algn="ctr"/>
          <a:r>
            <a:rPr lang="en-IN" sz="1400" b="1" i="1">
              <a:solidFill>
                <a:sysClr val="windowText" lastClr="000000"/>
              </a:solidFill>
            </a:rPr>
            <a:t>19.2%</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HYATHI SRI  CHEPURI" refreshedDate="46042.559639583335" createdVersion="6" refreshedVersion="6" minRefreshableVersion="3" recordCount="12">
  <cacheSource type="worksheet">
    <worksheetSource ref="A1:F13" sheet="Budget"/>
  </cacheSource>
  <cacheFields count="6">
    <cacheField name="Category" numFmtId="0">
      <sharedItems count="11">
        <s v="Rent"/>
        <s v="Food"/>
        <s v="Transport"/>
        <s v="Entertainment"/>
        <s v="Savings"/>
        <s v="shopping"/>
        <s v="Education"/>
        <s v="Utilities"/>
        <s v="Healthcare"/>
        <s v="Freelance"/>
        <s v="Salary"/>
      </sharedItems>
    </cacheField>
    <cacheField name="Monthly budget" numFmtId="0">
      <sharedItems containsSemiMixedTypes="0" containsString="0" containsNumber="1" containsInteger="1" minValue="150" maxValue="3000"/>
    </cacheField>
    <cacheField name="Actual spent" numFmtId="0">
      <sharedItems containsSemiMixedTypes="0" containsString="0" containsNumber="1" containsInteger="1" minValue="100" maxValue="2500" count="11">
        <n v="500"/>
        <n v="250"/>
        <n v="150"/>
        <n v="100"/>
        <n v="300"/>
        <n v="450"/>
        <n v="700"/>
        <n v="350"/>
        <n v="550"/>
        <n v="730"/>
        <n v="2500"/>
      </sharedItems>
    </cacheField>
    <cacheField name="Remaining" numFmtId="0">
      <sharedItems containsSemiMixedTypes="0" containsString="0" containsNumber="1" containsInteger="1" minValue="0" maxValue="500" count="7">
        <n v="500"/>
        <n v="250"/>
        <n v="50"/>
        <n v="0"/>
        <n v="100"/>
        <n v="200"/>
        <n v="70"/>
      </sharedItems>
    </cacheField>
    <cacheField name="Month" numFmtId="0">
      <sharedItems count="1">
        <s v="January"/>
      </sharedItems>
    </cacheField>
    <cacheField name="Date" numFmtId="14">
      <sharedItems containsSemiMixedTypes="0" containsNonDate="0" containsDate="1" containsString="0" minDate="2025-01-01T00:00:00" maxDate="2025-01-13T00: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
  <r>
    <x v="0"/>
    <n v="1000"/>
    <x v="0"/>
    <x v="0"/>
    <x v="0"/>
    <d v="2025-01-01T00:00:00"/>
  </r>
  <r>
    <x v="1"/>
    <n v="500"/>
    <x v="1"/>
    <x v="1"/>
    <x v="0"/>
    <d v="2025-01-02T00:00:00"/>
  </r>
  <r>
    <x v="2"/>
    <n v="200"/>
    <x v="2"/>
    <x v="2"/>
    <x v="0"/>
    <d v="2025-01-03T00:00:00"/>
  </r>
  <r>
    <x v="3"/>
    <n v="150"/>
    <x v="3"/>
    <x v="2"/>
    <x v="0"/>
    <d v="2025-01-04T00:00:00"/>
  </r>
  <r>
    <x v="4"/>
    <n v="300"/>
    <x v="4"/>
    <x v="3"/>
    <x v="0"/>
    <d v="2025-01-05T00:00:00"/>
  </r>
  <r>
    <x v="4"/>
    <n v="500"/>
    <x v="5"/>
    <x v="2"/>
    <x v="0"/>
    <d v="2025-01-06T00:00:00"/>
  </r>
  <r>
    <x v="5"/>
    <n v="400"/>
    <x v="4"/>
    <x v="4"/>
    <x v="0"/>
    <d v="2025-01-07T00:00:00"/>
  </r>
  <r>
    <x v="6"/>
    <n v="900"/>
    <x v="6"/>
    <x v="5"/>
    <x v="0"/>
    <d v="2025-01-08T00:00:00"/>
  </r>
  <r>
    <x v="7"/>
    <n v="400"/>
    <x v="7"/>
    <x v="2"/>
    <x v="0"/>
    <d v="2025-01-09T00:00:00"/>
  </r>
  <r>
    <x v="8"/>
    <n v="650"/>
    <x v="8"/>
    <x v="4"/>
    <x v="0"/>
    <d v="2025-01-10T00:00:00"/>
  </r>
  <r>
    <x v="9"/>
    <n v="800"/>
    <x v="9"/>
    <x v="6"/>
    <x v="0"/>
    <d v="2025-01-11T00:00:00"/>
  </r>
  <r>
    <x v="10"/>
    <n v="3000"/>
    <x v="10"/>
    <x v="0"/>
    <x v="0"/>
    <d v="2025-01-1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E3:G15" firstHeaderRow="0" firstDataRow="1" firstDataCol="1"/>
  <pivotFields count="6">
    <pivotField axis="axisRow" showAll="0">
      <items count="12">
        <item x="6"/>
        <item x="3"/>
        <item x="1"/>
        <item x="9"/>
        <item x="8"/>
        <item x="0"/>
        <item x="10"/>
        <item x="4"/>
        <item x="5"/>
        <item x="2"/>
        <item x="7"/>
        <item t="default"/>
      </items>
    </pivotField>
    <pivotField dataField="1" showAll="0"/>
    <pivotField showAll="0">
      <items count="12">
        <item x="3"/>
        <item x="2"/>
        <item x="1"/>
        <item x="4"/>
        <item x="7"/>
        <item x="5"/>
        <item x="0"/>
        <item x="8"/>
        <item x="6"/>
        <item x="9"/>
        <item x="10"/>
        <item t="default"/>
      </items>
    </pivotField>
    <pivotField dataField="1" showAll="0">
      <items count="8">
        <item x="3"/>
        <item x="2"/>
        <item x="6"/>
        <item x="4"/>
        <item x="5"/>
        <item x="1"/>
        <item x="0"/>
        <item t="default"/>
      </items>
    </pivotField>
    <pivotField showAll="0"/>
    <pivotField numFmtId="14" showAl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Monthly budget" fld="1" baseField="0" baseItem="0"/>
    <dataField name="Sum of Remaining" fld="3" baseField="0" baseItem="0"/>
  </dataFields>
  <chartFormats count="12">
    <chartFormat chart="23"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1"/>
          </reference>
        </references>
      </pivotArea>
    </chartFormat>
    <chartFormat chart="23" format="4">
      <pivotArea type="data" outline="0" fieldPosition="0">
        <references count="2">
          <reference field="4294967294" count="1" selected="0">
            <x v="1"/>
          </reference>
          <reference field="0" count="1" selected="0">
            <x v="0"/>
          </reference>
        </references>
      </pivotArea>
    </chartFormat>
    <chartFormat chart="23" format="5">
      <pivotArea type="data" outline="0" fieldPosition="0">
        <references count="2">
          <reference field="4294967294" count="1" selected="0">
            <x v="1"/>
          </reference>
          <reference field="0" count="1" selected="0">
            <x v="1"/>
          </reference>
        </references>
      </pivotArea>
    </chartFormat>
    <chartFormat chart="23" format="6">
      <pivotArea type="data" outline="0" fieldPosition="0">
        <references count="2">
          <reference field="4294967294" count="1" selected="0">
            <x v="1"/>
          </reference>
          <reference field="0" count="1" selected="0">
            <x v="2"/>
          </reference>
        </references>
      </pivotArea>
    </chartFormat>
    <chartFormat chart="23" format="7">
      <pivotArea type="data" outline="0" fieldPosition="0">
        <references count="2">
          <reference field="4294967294" count="1" selected="0">
            <x v="0"/>
          </reference>
          <reference field="0" count="1" selected="0">
            <x v="1"/>
          </reference>
        </references>
      </pivotArea>
    </chartFormat>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0" count="1" selected="0">
            <x v="1"/>
          </reference>
        </references>
      </pivotArea>
    </chartFormat>
    <chartFormat chart="25" format="16" series="1">
      <pivotArea type="data" outline="0" fieldPosition="0">
        <references count="1">
          <reference field="4294967294" count="1" selected="0">
            <x v="1"/>
          </reference>
        </references>
      </pivotArea>
    </chartFormat>
    <chartFormat chart="25" format="17">
      <pivotArea type="data" outline="0" fieldPosition="0">
        <references count="2">
          <reference field="4294967294" count="1" selected="0">
            <x v="1"/>
          </reference>
          <reference field="0" count="1" selected="0">
            <x v="0"/>
          </reference>
        </references>
      </pivotArea>
    </chartFormat>
    <chartFormat chart="25" format="18">
      <pivotArea type="data" outline="0" fieldPosition="0">
        <references count="2">
          <reference field="4294967294" count="1" selected="0">
            <x v="1"/>
          </reference>
          <reference field="0" count="1" selected="0">
            <x v="1"/>
          </reference>
        </references>
      </pivotArea>
    </chartFormat>
    <chartFormat chart="25" format="19">
      <pivotArea type="data" outline="0" fieldPosition="0">
        <references count="2">
          <reference field="4294967294" count="1" selected="0">
            <x v="1"/>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C26" firstHeaderRow="0" firstDataRow="1" firstDataCol="1"/>
  <pivotFields count="6">
    <pivotField axis="axisRow" showAll="0">
      <items count="12">
        <item x="6"/>
        <item x="3"/>
        <item x="1"/>
        <item x="9"/>
        <item x="8"/>
        <item x="0"/>
        <item x="10"/>
        <item x="4"/>
        <item x="5"/>
        <item x="2"/>
        <item x="7"/>
        <item t="default"/>
      </items>
    </pivotField>
    <pivotField dataField="1" showAll="0"/>
    <pivotField dataField="1" showAll="0">
      <items count="12">
        <item x="3"/>
        <item x="2"/>
        <item x="1"/>
        <item x="4"/>
        <item x="7"/>
        <item x="5"/>
        <item x="0"/>
        <item x="8"/>
        <item x="6"/>
        <item x="9"/>
        <item x="10"/>
        <item t="default"/>
      </items>
    </pivotField>
    <pivotField showAll="0">
      <items count="8">
        <item x="3"/>
        <item x="2"/>
        <item x="6"/>
        <item x="4"/>
        <item x="5"/>
        <item x="1"/>
        <item x="0"/>
        <item t="default"/>
      </items>
    </pivotField>
    <pivotField axis="axisRow" showAll="0">
      <items count="2">
        <item x="0"/>
        <item t="default"/>
      </items>
    </pivotField>
    <pivotField numFmtId="14" showAll="0"/>
  </pivotFields>
  <rowFields count="2">
    <field x="0"/>
    <field x="4"/>
  </rowFields>
  <rowItems count="23">
    <i>
      <x/>
    </i>
    <i r="1">
      <x/>
    </i>
    <i>
      <x v="1"/>
    </i>
    <i r="1">
      <x/>
    </i>
    <i>
      <x v="2"/>
    </i>
    <i r="1">
      <x/>
    </i>
    <i>
      <x v="3"/>
    </i>
    <i r="1">
      <x/>
    </i>
    <i>
      <x v="4"/>
    </i>
    <i r="1">
      <x/>
    </i>
    <i>
      <x v="5"/>
    </i>
    <i r="1">
      <x/>
    </i>
    <i>
      <x v="6"/>
    </i>
    <i r="1">
      <x/>
    </i>
    <i>
      <x v="7"/>
    </i>
    <i r="1">
      <x/>
    </i>
    <i>
      <x v="8"/>
    </i>
    <i r="1">
      <x/>
    </i>
    <i>
      <x v="9"/>
    </i>
    <i r="1">
      <x/>
    </i>
    <i>
      <x v="10"/>
    </i>
    <i r="1">
      <x/>
    </i>
    <i t="grand">
      <x/>
    </i>
  </rowItems>
  <colFields count="1">
    <field x="-2"/>
  </colFields>
  <colItems count="2">
    <i>
      <x/>
    </i>
    <i i="1">
      <x v="1"/>
    </i>
  </colItems>
  <dataFields count="2">
    <dataField name="Sum of Monthly budget" fld="1" baseField="0" baseItem="0"/>
    <dataField name="Sum of Actual spent" fld="2" baseField="0" baseItem="0"/>
  </dataFields>
  <chartFormats count="4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8" format="28" series="1">
      <pivotArea type="data" outline="0" fieldPosition="0">
        <references count="1">
          <reference field="4294967294" count="1" selected="0">
            <x v="0"/>
          </reference>
        </references>
      </pivotArea>
    </chartFormat>
    <chartFormat chart="8" format="29">
      <pivotArea type="data" outline="0" fieldPosition="0">
        <references count="3">
          <reference field="4294967294" count="1" selected="0">
            <x v="0"/>
          </reference>
          <reference field="0" count="1" selected="0">
            <x v="0"/>
          </reference>
          <reference field="4" count="1" selected="0">
            <x v="0"/>
          </reference>
        </references>
      </pivotArea>
    </chartFormat>
    <chartFormat chart="8" format="30">
      <pivotArea type="data" outline="0" fieldPosition="0">
        <references count="3">
          <reference field="4294967294" count="1" selected="0">
            <x v="0"/>
          </reference>
          <reference field="0" count="1" selected="0">
            <x v="1"/>
          </reference>
          <reference field="4" count="1" selected="0">
            <x v="0"/>
          </reference>
        </references>
      </pivotArea>
    </chartFormat>
    <chartFormat chart="8" format="31">
      <pivotArea type="data" outline="0" fieldPosition="0">
        <references count="3">
          <reference field="4294967294" count="1" selected="0">
            <x v="0"/>
          </reference>
          <reference field="0" count="1" selected="0">
            <x v="2"/>
          </reference>
          <reference field="4" count="1" selected="0">
            <x v="0"/>
          </reference>
        </references>
      </pivotArea>
    </chartFormat>
    <chartFormat chart="8" format="32">
      <pivotArea type="data" outline="0" fieldPosition="0">
        <references count="3">
          <reference field="4294967294" count="1" selected="0">
            <x v="0"/>
          </reference>
          <reference field="0" count="1" selected="0">
            <x v="3"/>
          </reference>
          <reference field="4" count="1" selected="0">
            <x v="0"/>
          </reference>
        </references>
      </pivotArea>
    </chartFormat>
    <chartFormat chart="8" format="33">
      <pivotArea type="data" outline="0" fieldPosition="0">
        <references count="3">
          <reference field="4294967294" count="1" selected="0">
            <x v="0"/>
          </reference>
          <reference field="0" count="1" selected="0">
            <x v="4"/>
          </reference>
          <reference field="4" count="1" selected="0">
            <x v="0"/>
          </reference>
        </references>
      </pivotArea>
    </chartFormat>
    <chartFormat chart="8" format="34">
      <pivotArea type="data" outline="0" fieldPosition="0">
        <references count="3">
          <reference field="4294967294" count="1" selected="0">
            <x v="0"/>
          </reference>
          <reference field="0" count="1" selected="0">
            <x v="5"/>
          </reference>
          <reference field="4" count="1" selected="0">
            <x v="0"/>
          </reference>
        </references>
      </pivotArea>
    </chartFormat>
    <chartFormat chart="8" format="35">
      <pivotArea type="data" outline="0" fieldPosition="0">
        <references count="3">
          <reference field="4294967294" count="1" selected="0">
            <x v="0"/>
          </reference>
          <reference field="0" count="1" selected="0">
            <x v="6"/>
          </reference>
          <reference field="4" count="1" selected="0">
            <x v="0"/>
          </reference>
        </references>
      </pivotArea>
    </chartFormat>
    <chartFormat chart="8" format="36">
      <pivotArea type="data" outline="0" fieldPosition="0">
        <references count="3">
          <reference field="4294967294" count="1" selected="0">
            <x v="0"/>
          </reference>
          <reference field="0" count="1" selected="0">
            <x v="7"/>
          </reference>
          <reference field="4" count="1" selected="0">
            <x v="0"/>
          </reference>
        </references>
      </pivotArea>
    </chartFormat>
    <chartFormat chart="8" format="37">
      <pivotArea type="data" outline="0" fieldPosition="0">
        <references count="3">
          <reference field="4294967294" count="1" selected="0">
            <x v="0"/>
          </reference>
          <reference field="0" count="1" selected="0">
            <x v="8"/>
          </reference>
          <reference field="4" count="1" selected="0">
            <x v="0"/>
          </reference>
        </references>
      </pivotArea>
    </chartFormat>
    <chartFormat chart="8" format="38">
      <pivotArea type="data" outline="0" fieldPosition="0">
        <references count="3">
          <reference field="4294967294" count="1" selected="0">
            <x v="0"/>
          </reference>
          <reference field="0" count="1" selected="0">
            <x v="9"/>
          </reference>
          <reference field="4" count="1" selected="0">
            <x v="0"/>
          </reference>
        </references>
      </pivotArea>
    </chartFormat>
    <chartFormat chart="8" format="39">
      <pivotArea type="data" outline="0" fieldPosition="0">
        <references count="3">
          <reference field="4294967294" count="1" selected="0">
            <x v="0"/>
          </reference>
          <reference field="0" count="1" selected="0">
            <x v="10"/>
          </reference>
          <reference field="4" count="1" selected="0">
            <x v="0"/>
          </reference>
        </references>
      </pivotArea>
    </chartFormat>
    <chartFormat chart="8" format="40" series="1">
      <pivotArea type="data" outline="0" fieldPosition="0">
        <references count="1">
          <reference field="4294967294" count="1" selected="0">
            <x v="1"/>
          </reference>
        </references>
      </pivotArea>
    </chartFormat>
    <chartFormat chart="8" format="41">
      <pivotArea type="data" outline="0" fieldPosition="0">
        <references count="3">
          <reference field="4294967294" count="1" selected="0">
            <x v="1"/>
          </reference>
          <reference field="0" count="1" selected="0">
            <x v="0"/>
          </reference>
          <reference field="4" count="1" selected="0">
            <x v="0"/>
          </reference>
        </references>
      </pivotArea>
    </chartFormat>
    <chartFormat chart="8" format="42">
      <pivotArea type="data" outline="0" fieldPosition="0">
        <references count="3">
          <reference field="4294967294" count="1" selected="0">
            <x v="1"/>
          </reference>
          <reference field="0" count="1" selected="0">
            <x v="1"/>
          </reference>
          <reference field="4" count="1" selected="0">
            <x v="0"/>
          </reference>
        </references>
      </pivotArea>
    </chartFormat>
    <chartFormat chart="8" format="43">
      <pivotArea type="data" outline="0" fieldPosition="0">
        <references count="3">
          <reference field="4294967294" count="1" selected="0">
            <x v="1"/>
          </reference>
          <reference field="0" count="1" selected="0">
            <x v="2"/>
          </reference>
          <reference field="4" count="1" selected="0">
            <x v="0"/>
          </reference>
        </references>
      </pivotArea>
    </chartFormat>
    <chartFormat chart="8" format="44">
      <pivotArea type="data" outline="0" fieldPosition="0">
        <references count="3">
          <reference field="4294967294" count="1" selected="0">
            <x v="1"/>
          </reference>
          <reference field="0" count="1" selected="0">
            <x v="3"/>
          </reference>
          <reference field="4" count="1" selected="0">
            <x v="0"/>
          </reference>
        </references>
      </pivotArea>
    </chartFormat>
    <chartFormat chart="8" format="45">
      <pivotArea type="data" outline="0" fieldPosition="0">
        <references count="3">
          <reference field="4294967294" count="1" selected="0">
            <x v="1"/>
          </reference>
          <reference field="0" count="1" selected="0">
            <x v="4"/>
          </reference>
          <reference field="4" count="1" selected="0">
            <x v="0"/>
          </reference>
        </references>
      </pivotArea>
    </chartFormat>
    <chartFormat chart="8" format="46">
      <pivotArea type="data" outline="0" fieldPosition="0">
        <references count="3">
          <reference field="4294967294" count="1" selected="0">
            <x v="1"/>
          </reference>
          <reference field="0" count="1" selected="0">
            <x v="5"/>
          </reference>
          <reference field="4" count="1" selected="0">
            <x v="0"/>
          </reference>
        </references>
      </pivotArea>
    </chartFormat>
    <chartFormat chart="8" format="47">
      <pivotArea type="data" outline="0" fieldPosition="0">
        <references count="3">
          <reference field="4294967294" count="1" selected="0">
            <x v="1"/>
          </reference>
          <reference field="0" count="1" selected="0">
            <x v="6"/>
          </reference>
          <reference field="4" count="1" selected="0">
            <x v="0"/>
          </reference>
        </references>
      </pivotArea>
    </chartFormat>
    <chartFormat chart="8" format="48">
      <pivotArea type="data" outline="0" fieldPosition="0">
        <references count="3">
          <reference field="4294967294" count="1" selected="0">
            <x v="1"/>
          </reference>
          <reference field="0" count="1" selected="0">
            <x v="7"/>
          </reference>
          <reference field="4" count="1" selected="0">
            <x v="0"/>
          </reference>
        </references>
      </pivotArea>
    </chartFormat>
    <chartFormat chart="8" format="49">
      <pivotArea type="data" outline="0" fieldPosition="0">
        <references count="3">
          <reference field="4294967294" count="1" selected="0">
            <x v="1"/>
          </reference>
          <reference field="0" count="1" selected="0">
            <x v="8"/>
          </reference>
          <reference field="4" count="1" selected="0">
            <x v="0"/>
          </reference>
        </references>
      </pivotArea>
    </chartFormat>
    <chartFormat chart="8" format="50">
      <pivotArea type="data" outline="0" fieldPosition="0">
        <references count="3">
          <reference field="4294967294" count="1" selected="0">
            <x v="1"/>
          </reference>
          <reference field="0" count="1" selected="0">
            <x v="9"/>
          </reference>
          <reference field="4" count="1" selected="0">
            <x v="0"/>
          </reference>
        </references>
      </pivotArea>
    </chartFormat>
    <chartFormat chart="8" format="51">
      <pivotArea type="data" outline="0" fieldPosition="0">
        <references count="3">
          <reference field="4294967294" count="1" selected="0">
            <x v="1"/>
          </reference>
          <reference field="0" count="1" selected="0">
            <x v="10"/>
          </reference>
          <reference field="4" count="1" selected="0">
            <x v="0"/>
          </reference>
        </references>
      </pivotArea>
    </chartFormat>
    <chartFormat chart="1" format="4">
      <pivotArea type="data" outline="0" fieldPosition="0">
        <references count="3">
          <reference field="4294967294" count="1" selected="0">
            <x v="0"/>
          </reference>
          <reference field="0" count="1" selected="0">
            <x v="0"/>
          </reference>
          <reference field="4" count="1" selected="0">
            <x v="0"/>
          </reference>
        </references>
      </pivotArea>
    </chartFormat>
    <chartFormat chart="1" format="5">
      <pivotArea type="data" outline="0" fieldPosition="0">
        <references count="3">
          <reference field="4294967294" count="1" selected="0">
            <x v="0"/>
          </reference>
          <reference field="0" count="1" selected="0">
            <x v="1"/>
          </reference>
          <reference field="4" count="1" selected="0">
            <x v="0"/>
          </reference>
        </references>
      </pivotArea>
    </chartFormat>
    <chartFormat chart="1" format="6">
      <pivotArea type="data" outline="0" fieldPosition="0">
        <references count="3">
          <reference field="4294967294" count="1" selected="0">
            <x v="0"/>
          </reference>
          <reference field="0" count="1" selected="0">
            <x v="2"/>
          </reference>
          <reference field="4" count="1" selected="0">
            <x v="0"/>
          </reference>
        </references>
      </pivotArea>
    </chartFormat>
    <chartFormat chart="1" format="7">
      <pivotArea type="data" outline="0" fieldPosition="0">
        <references count="3">
          <reference field="4294967294" count="1" selected="0">
            <x v="0"/>
          </reference>
          <reference field="0" count="1" selected="0">
            <x v="3"/>
          </reference>
          <reference field="4" count="1" selected="0">
            <x v="0"/>
          </reference>
        </references>
      </pivotArea>
    </chartFormat>
    <chartFormat chart="1" format="8">
      <pivotArea type="data" outline="0" fieldPosition="0">
        <references count="3">
          <reference field="4294967294" count="1" selected="0">
            <x v="0"/>
          </reference>
          <reference field="0" count="1" selected="0">
            <x v="4"/>
          </reference>
          <reference field="4" count="1" selected="0">
            <x v="0"/>
          </reference>
        </references>
      </pivotArea>
    </chartFormat>
    <chartFormat chart="1" format="9">
      <pivotArea type="data" outline="0" fieldPosition="0">
        <references count="3">
          <reference field="4294967294" count="1" selected="0">
            <x v="0"/>
          </reference>
          <reference field="0" count="1" selected="0">
            <x v="5"/>
          </reference>
          <reference field="4" count="1" selected="0">
            <x v="0"/>
          </reference>
        </references>
      </pivotArea>
    </chartFormat>
    <chartFormat chart="1" format="10">
      <pivotArea type="data" outline="0" fieldPosition="0">
        <references count="3">
          <reference field="4294967294" count="1" selected="0">
            <x v="0"/>
          </reference>
          <reference field="0" count="1" selected="0">
            <x v="6"/>
          </reference>
          <reference field="4" count="1" selected="0">
            <x v="0"/>
          </reference>
        </references>
      </pivotArea>
    </chartFormat>
    <chartFormat chart="1" format="11">
      <pivotArea type="data" outline="0" fieldPosition="0">
        <references count="3">
          <reference field="4294967294" count="1" selected="0">
            <x v="0"/>
          </reference>
          <reference field="0" count="1" selected="0">
            <x v="7"/>
          </reference>
          <reference field="4" count="1" selected="0">
            <x v="0"/>
          </reference>
        </references>
      </pivotArea>
    </chartFormat>
    <chartFormat chart="1" format="12">
      <pivotArea type="data" outline="0" fieldPosition="0">
        <references count="3">
          <reference field="4294967294" count="1" selected="0">
            <x v="0"/>
          </reference>
          <reference field="0" count="1" selected="0">
            <x v="8"/>
          </reference>
          <reference field="4" count="1" selected="0">
            <x v="0"/>
          </reference>
        </references>
      </pivotArea>
    </chartFormat>
    <chartFormat chart="1" format="13">
      <pivotArea type="data" outline="0" fieldPosition="0">
        <references count="3">
          <reference field="4294967294" count="1" selected="0">
            <x v="0"/>
          </reference>
          <reference field="0" count="1" selected="0">
            <x v="9"/>
          </reference>
          <reference field="4" count="1" selected="0">
            <x v="0"/>
          </reference>
        </references>
      </pivotArea>
    </chartFormat>
    <chartFormat chart="1" format="14">
      <pivotArea type="data" outline="0" fieldPosition="0">
        <references count="3">
          <reference field="4294967294" count="1" selected="0">
            <x v="0"/>
          </reference>
          <reference field="0" count="1" selected="0">
            <x v="10"/>
          </reference>
          <reference field="4" count="1" selected="0">
            <x v="0"/>
          </reference>
        </references>
      </pivotArea>
    </chartFormat>
    <chartFormat chart="1" format="15">
      <pivotArea type="data" outline="0" fieldPosition="0">
        <references count="3">
          <reference field="4294967294" count="1" selected="0">
            <x v="1"/>
          </reference>
          <reference field="0" count="1" selected="0">
            <x v="0"/>
          </reference>
          <reference field="4" count="1" selected="0">
            <x v="0"/>
          </reference>
        </references>
      </pivotArea>
    </chartFormat>
    <chartFormat chart="1" format="16">
      <pivotArea type="data" outline="0" fieldPosition="0">
        <references count="3">
          <reference field="4294967294" count="1" selected="0">
            <x v="1"/>
          </reference>
          <reference field="0" count="1" selected="0">
            <x v="1"/>
          </reference>
          <reference field="4" count="1" selected="0">
            <x v="0"/>
          </reference>
        </references>
      </pivotArea>
    </chartFormat>
    <chartFormat chart="1" format="17">
      <pivotArea type="data" outline="0" fieldPosition="0">
        <references count="3">
          <reference field="4294967294" count="1" selected="0">
            <x v="1"/>
          </reference>
          <reference field="0" count="1" selected="0">
            <x v="2"/>
          </reference>
          <reference field="4" count="1" selected="0">
            <x v="0"/>
          </reference>
        </references>
      </pivotArea>
    </chartFormat>
    <chartFormat chart="1" format="18">
      <pivotArea type="data" outline="0" fieldPosition="0">
        <references count="3">
          <reference field="4294967294" count="1" selected="0">
            <x v="1"/>
          </reference>
          <reference field="0" count="1" selected="0">
            <x v="3"/>
          </reference>
          <reference field="4" count="1" selected="0">
            <x v="0"/>
          </reference>
        </references>
      </pivotArea>
    </chartFormat>
    <chartFormat chart="1" format="19">
      <pivotArea type="data" outline="0" fieldPosition="0">
        <references count="3">
          <reference field="4294967294" count="1" selected="0">
            <x v="1"/>
          </reference>
          <reference field="0" count="1" selected="0">
            <x v="4"/>
          </reference>
          <reference field="4" count="1" selected="0">
            <x v="0"/>
          </reference>
        </references>
      </pivotArea>
    </chartFormat>
    <chartFormat chart="1" format="20">
      <pivotArea type="data" outline="0" fieldPosition="0">
        <references count="3">
          <reference field="4294967294" count="1" selected="0">
            <x v="1"/>
          </reference>
          <reference field="0" count="1" selected="0">
            <x v="5"/>
          </reference>
          <reference field="4" count="1" selected="0">
            <x v="0"/>
          </reference>
        </references>
      </pivotArea>
    </chartFormat>
    <chartFormat chart="1" format="21">
      <pivotArea type="data" outline="0" fieldPosition="0">
        <references count="3">
          <reference field="4294967294" count="1" selected="0">
            <x v="1"/>
          </reference>
          <reference field="0" count="1" selected="0">
            <x v="6"/>
          </reference>
          <reference field="4" count="1" selected="0">
            <x v="0"/>
          </reference>
        </references>
      </pivotArea>
    </chartFormat>
    <chartFormat chart="1" format="22">
      <pivotArea type="data" outline="0" fieldPosition="0">
        <references count="3">
          <reference field="4294967294" count="1" selected="0">
            <x v="1"/>
          </reference>
          <reference field="0" count="1" selected="0">
            <x v="7"/>
          </reference>
          <reference field="4" count="1" selected="0">
            <x v="0"/>
          </reference>
        </references>
      </pivotArea>
    </chartFormat>
    <chartFormat chart="1" format="23">
      <pivotArea type="data" outline="0" fieldPosition="0">
        <references count="3">
          <reference field="4294967294" count="1" selected="0">
            <x v="1"/>
          </reference>
          <reference field="0" count="1" selected="0">
            <x v="8"/>
          </reference>
          <reference field="4" count="1" selected="0">
            <x v="0"/>
          </reference>
        </references>
      </pivotArea>
    </chartFormat>
    <chartFormat chart="1" format="24">
      <pivotArea type="data" outline="0" fieldPosition="0">
        <references count="3">
          <reference field="4294967294" count="1" selected="0">
            <x v="1"/>
          </reference>
          <reference field="0" count="1" selected="0">
            <x v="9"/>
          </reference>
          <reference field="4" count="1" selected="0">
            <x v="0"/>
          </reference>
        </references>
      </pivotArea>
    </chartFormat>
    <chartFormat chart="1" format="25">
      <pivotArea type="data" outline="0" fieldPosition="0">
        <references count="3">
          <reference field="4294967294" count="1" selected="0">
            <x v="1"/>
          </reference>
          <reference field="0" count="1" selected="0">
            <x v="1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M5:P17" firstHeaderRow="0" firstDataRow="1" firstDataCol="1"/>
  <pivotFields count="6">
    <pivotField axis="axisRow" showAll="0">
      <items count="12">
        <item x="6"/>
        <item x="3"/>
        <item x="1"/>
        <item x="9"/>
        <item x="8"/>
        <item x="0"/>
        <item x="10"/>
        <item x="4"/>
        <item x="5"/>
        <item x="2"/>
        <item x="7"/>
        <item t="default"/>
      </items>
    </pivotField>
    <pivotField dataField="1" showAll="0"/>
    <pivotField dataField="1" showAll="0">
      <items count="12">
        <item x="3"/>
        <item x="2"/>
        <item x="1"/>
        <item x="4"/>
        <item x="7"/>
        <item x="5"/>
        <item x="0"/>
        <item x="8"/>
        <item x="6"/>
        <item x="9"/>
        <item x="10"/>
        <item t="default"/>
      </items>
    </pivotField>
    <pivotField dataField="1" showAll="0">
      <items count="8">
        <item x="3"/>
        <item x="2"/>
        <item x="6"/>
        <item x="4"/>
        <item x="5"/>
        <item x="1"/>
        <item x="0"/>
        <item t="default"/>
      </items>
    </pivotField>
    <pivotField showAll="0"/>
    <pivotField numFmtId="14" showAll="0"/>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name="Sum of Monthly budget" fld="1" baseField="0" baseItem="0"/>
    <dataField name="Sum of Actual spent" fld="2" baseField="0" baseItem="0"/>
    <dataField name="Sum of Remaining" fld="3" baseField="0" baseItem="0"/>
  </dataFields>
  <chartFormats count="72">
    <chartFormat chart="15"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2"/>
          </reference>
        </references>
      </pivotArea>
    </chartFormat>
    <chartFormat chart="17" format="42" series="1">
      <pivotArea type="data" outline="0" fieldPosition="0">
        <references count="1">
          <reference field="4294967294" count="1" selected="0">
            <x v="0"/>
          </reference>
        </references>
      </pivotArea>
    </chartFormat>
    <chartFormat chart="17" format="43">
      <pivotArea type="data" outline="0" fieldPosition="0">
        <references count="2">
          <reference field="4294967294" count="1" selected="0">
            <x v="0"/>
          </reference>
          <reference field="0" count="1" selected="0">
            <x v="0"/>
          </reference>
        </references>
      </pivotArea>
    </chartFormat>
    <chartFormat chart="17" format="44">
      <pivotArea type="data" outline="0" fieldPosition="0">
        <references count="2">
          <reference field="4294967294" count="1" selected="0">
            <x v="0"/>
          </reference>
          <reference field="0" count="1" selected="0">
            <x v="1"/>
          </reference>
        </references>
      </pivotArea>
    </chartFormat>
    <chartFormat chart="17" format="45">
      <pivotArea type="data" outline="0" fieldPosition="0">
        <references count="2">
          <reference field="4294967294" count="1" selected="0">
            <x v="0"/>
          </reference>
          <reference field="0" count="1" selected="0">
            <x v="2"/>
          </reference>
        </references>
      </pivotArea>
    </chartFormat>
    <chartFormat chart="17" format="46">
      <pivotArea type="data" outline="0" fieldPosition="0">
        <references count="2">
          <reference field="4294967294" count="1" selected="0">
            <x v="0"/>
          </reference>
          <reference field="0" count="1" selected="0">
            <x v="3"/>
          </reference>
        </references>
      </pivotArea>
    </chartFormat>
    <chartFormat chart="17" format="47">
      <pivotArea type="data" outline="0" fieldPosition="0">
        <references count="2">
          <reference field="4294967294" count="1" selected="0">
            <x v="0"/>
          </reference>
          <reference field="0" count="1" selected="0">
            <x v="4"/>
          </reference>
        </references>
      </pivotArea>
    </chartFormat>
    <chartFormat chart="17" format="48">
      <pivotArea type="data" outline="0" fieldPosition="0">
        <references count="2">
          <reference field="4294967294" count="1" selected="0">
            <x v="0"/>
          </reference>
          <reference field="0" count="1" selected="0">
            <x v="5"/>
          </reference>
        </references>
      </pivotArea>
    </chartFormat>
    <chartFormat chart="17" format="49">
      <pivotArea type="data" outline="0" fieldPosition="0">
        <references count="2">
          <reference field="4294967294" count="1" selected="0">
            <x v="0"/>
          </reference>
          <reference field="0" count="1" selected="0">
            <x v="6"/>
          </reference>
        </references>
      </pivotArea>
    </chartFormat>
    <chartFormat chart="17" format="50">
      <pivotArea type="data" outline="0" fieldPosition="0">
        <references count="2">
          <reference field="4294967294" count="1" selected="0">
            <x v="0"/>
          </reference>
          <reference field="0" count="1" selected="0">
            <x v="7"/>
          </reference>
        </references>
      </pivotArea>
    </chartFormat>
    <chartFormat chart="17" format="51">
      <pivotArea type="data" outline="0" fieldPosition="0">
        <references count="2">
          <reference field="4294967294" count="1" selected="0">
            <x v="0"/>
          </reference>
          <reference field="0" count="1" selected="0">
            <x v="8"/>
          </reference>
        </references>
      </pivotArea>
    </chartFormat>
    <chartFormat chart="17" format="52">
      <pivotArea type="data" outline="0" fieldPosition="0">
        <references count="2">
          <reference field="4294967294" count="1" selected="0">
            <x v="0"/>
          </reference>
          <reference field="0" count="1" selected="0">
            <x v="9"/>
          </reference>
        </references>
      </pivotArea>
    </chartFormat>
    <chartFormat chart="17" format="53">
      <pivotArea type="data" outline="0" fieldPosition="0">
        <references count="2">
          <reference field="4294967294" count="1" selected="0">
            <x v="0"/>
          </reference>
          <reference field="0" count="1" selected="0">
            <x v="10"/>
          </reference>
        </references>
      </pivotArea>
    </chartFormat>
    <chartFormat chart="17" format="54" series="1">
      <pivotArea type="data" outline="0" fieldPosition="0">
        <references count="1">
          <reference field="4294967294" count="1" selected="0">
            <x v="1"/>
          </reference>
        </references>
      </pivotArea>
    </chartFormat>
    <chartFormat chart="17" format="55">
      <pivotArea type="data" outline="0" fieldPosition="0">
        <references count="2">
          <reference field="4294967294" count="1" selected="0">
            <x v="1"/>
          </reference>
          <reference field="0" count="1" selected="0">
            <x v="0"/>
          </reference>
        </references>
      </pivotArea>
    </chartFormat>
    <chartFormat chart="17" format="56">
      <pivotArea type="data" outline="0" fieldPosition="0">
        <references count="2">
          <reference field="4294967294" count="1" selected="0">
            <x v="1"/>
          </reference>
          <reference field="0" count="1" selected="0">
            <x v="1"/>
          </reference>
        </references>
      </pivotArea>
    </chartFormat>
    <chartFormat chart="17" format="57">
      <pivotArea type="data" outline="0" fieldPosition="0">
        <references count="2">
          <reference field="4294967294" count="1" selected="0">
            <x v="1"/>
          </reference>
          <reference field="0" count="1" selected="0">
            <x v="2"/>
          </reference>
        </references>
      </pivotArea>
    </chartFormat>
    <chartFormat chart="17" format="58">
      <pivotArea type="data" outline="0" fieldPosition="0">
        <references count="2">
          <reference field="4294967294" count="1" selected="0">
            <x v="1"/>
          </reference>
          <reference field="0" count="1" selected="0">
            <x v="3"/>
          </reference>
        </references>
      </pivotArea>
    </chartFormat>
    <chartFormat chart="17" format="59">
      <pivotArea type="data" outline="0" fieldPosition="0">
        <references count="2">
          <reference field="4294967294" count="1" selected="0">
            <x v="1"/>
          </reference>
          <reference field="0" count="1" selected="0">
            <x v="4"/>
          </reference>
        </references>
      </pivotArea>
    </chartFormat>
    <chartFormat chart="17" format="60">
      <pivotArea type="data" outline="0" fieldPosition="0">
        <references count="2">
          <reference field="4294967294" count="1" selected="0">
            <x v="1"/>
          </reference>
          <reference field="0" count="1" selected="0">
            <x v="5"/>
          </reference>
        </references>
      </pivotArea>
    </chartFormat>
    <chartFormat chart="17" format="61">
      <pivotArea type="data" outline="0" fieldPosition="0">
        <references count="2">
          <reference field="4294967294" count="1" selected="0">
            <x v="1"/>
          </reference>
          <reference field="0" count="1" selected="0">
            <x v="6"/>
          </reference>
        </references>
      </pivotArea>
    </chartFormat>
    <chartFormat chart="17" format="62">
      <pivotArea type="data" outline="0" fieldPosition="0">
        <references count="2">
          <reference field="4294967294" count="1" selected="0">
            <x v="1"/>
          </reference>
          <reference field="0" count="1" selected="0">
            <x v="7"/>
          </reference>
        </references>
      </pivotArea>
    </chartFormat>
    <chartFormat chart="17" format="63">
      <pivotArea type="data" outline="0" fieldPosition="0">
        <references count="2">
          <reference field="4294967294" count="1" selected="0">
            <x v="1"/>
          </reference>
          <reference field="0" count="1" selected="0">
            <x v="8"/>
          </reference>
        </references>
      </pivotArea>
    </chartFormat>
    <chartFormat chart="17" format="64">
      <pivotArea type="data" outline="0" fieldPosition="0">
        <references count="2">
          <reference field="4294967294" count="1" selected="0">
            <x v="1"/>
          </reference>
          <reference field="0" count="1" selected="0">
            <x v="9"/>
          </reference>
        </references>
      </pivotArea>
    </chartFormat>
    <chartFormat chart="17" format="65">
      <pivotArea type="data" outline="0" fieldPosition="0">
        <references count="2">
          <reference field="4294967294" count="1" selected="0">
            <x v="1"/>
          </reference>
          <reference field="0" count="1" selected="0">
            <x v="10"/>
          </reference>
        </references>
      </pivotArea>
    </chartFormat>
    <chartFormat chart="17" format="66" series="1">
      <pivotArea type="data" outline="0" fieldPosition="0">
        <references count="1">
          <reference field="4294967294" count="1" selected="0">
            <x v="2"/>
          </reference>
        </references>
      </pivotArea>
    </chartFormat>
    <chartFormat chart="17" format="67">
      <pivotArea type="data" outline="0" fieldPosition="0">
        <references count="2">
          <reference field="4294967294" count="1" selected="0">
            <x v="2"/>
          </reference>
          <reference field="0" count="1" selected="0">
            <x v="0"/>
          </reference>
        </references>
      </pivotArea>
    </chartFormat>
    <chartFormat chart="17" format="68">
      <pivotArea type="data" outline="0" fieldPosition="0">
        <references count="2">
          <reference field="4294967294" count="1" selected="0">
            <x v="2"/>
          </reference>
          <reference field="0" count="1" selected="0">
            <x v="1"/>
          </reference>
        </references>
      </pivotArea>
    </chartFormat>
    <chartFormat chart="17" format="69">
      <pivotArea type="data" outline="0" fieldPosition="0">
        <references count="2">
          <reference field="4294967294" count="1" selected="0">
            <x v="2"/>
          </reference>
          <reference field="0" count="1" selected="0">
            <x v="2"/>
          </reference>
        </references>
      </pivotArea>
    </chartFormat>
    <chartFormat chart="17" format="70">
      <pivotArea type="data" outline="0" fieldPosition="0">
        <references count="2">
          <reference field="4294967294" count="1" selected="0">
            <x v="2"/>
          </reference>
          <reference field="0" count="1" selected="0">
            <x v="3"/>
          </reference>
        </references>
      </pivotArea>
    </chartFormat>
    <chartFormat chart="17" format="71">
      <pivotArea type="data" outline="0" fieldPosition="0">
        <references count="2">
          <reference field="4294967294" count="1" selected="0">
            <x v="2"/>
          </reference>
          <reference field="0" count="1" selected="0">
            <x v="4"/>
          </reference>
        </references>
      </pivotArea>
    </chartFormat>
    <chartFormat chart="17" format="72">
      <pivotArea type="data" outline="0" fieldPosition="0">
        <references count="2">
          <reference field="4294967294" count="1" selected="0">
            <x v="2"/>
          </reference>
          <reference field="0" count="1" selected="0">
            <x v="5"/>
          </reference>
        </references>
      </pivotArea>
    </chartFormat>
    <chartFormat chart="17" format="73">
      <pivotArea type="data" outline="0" fieldPosition="0">
        <references count="2">
          <reference field="4294967294" count="1" selected="0">
            <x v="2"/>
          </reference>
          <reference field="0" count="1" selected="0">
            <x v="6"/>
          </reference>
        </references>
      </pivotArea>
    </chartFormat>
    <chartFormat chart="17" format="74">
      <pivotArea type="data" outline="0" fieldPosition="0">
        <references count="2">
          <reference field="4294967294" count="1" selected="0">
            <x v="2"/>
          </reference>
          <reference field="0" count="1" selected="0">
            <x v="7"/>
          </reference>
        </references>
      </pivotArea>
    </chartFormat>
    <chartFormat chart="17" format="75">
      <pivotArea type="data" outline="0" fieldPosition="0">
        <references count="2">
          <reference field="4294967294" count="1" selected="0">
            <x v="2"/>
          </reference>
          <reference field="0" count="1" selected="0">
            <x v="8"/>
          </reference>
        </references>
      </pivotArea>
    </chartFormat>
    <chartFormat chart="17" format="76">
      <pivotArea type="data" outline="0" fieldPosition="0">
        <references count="2">
          <reference field="4294967294" count="1" selected="0">
            <x v="2"/>
          </reference>
          <reference field="0" count="1" selected="0">
            <x v="9"/>
          </reference>
        </references>
      </pivotArea>
    </chartFormat>
    <chartFormat chart="17" format="77">
      <pivotArea type="data" outline="0" fieldPosition="0">
        <references count="2">
          <reference field="4294967294" count="1" selected="0">
            <x v="2"/>
          </reference>
          <reference field="0" count="1" selected="0">
            <x v="10"/>
          </reference>
        </references>
      </pivotArea>
    </chartFormat>
    <chartFormat chart="15" format="6">
      <pivotArea type="data" outline="0" fieldPosition="0">
        <references count="2">
          <reference field="4294967294" count="1" selected="0">
            <x v="0"/>
          </reference>
          <reference field="0" count="1" selected="0">
            <x v="0"/>
          </reference>
        </references>
      </pivotArea>
    </chartFormat>
    <chartFormat chart="15" format="7">
      <pivotArea type="data" outline="0" fieldPosition="0">
        <references count="2">
          <reference field="4294967294" count="1" selected="0">
            <x v="0"/>
          </reference>
          <reference field="0" count="1" selected="0">
            <x v="1"/>
          </reference>
        </references>
      </pivotArea>
    </chartFormat>
    <chartFormat chart="15" format="8">
      <pivotArea type="data" outline="0" fieldPosition="0">
        <references count="2">
          <reference field="4294967294" count="1" selected="0">
            <x v="0"/>
          </reference>
          <reference field="0" count="1" selected="0">
            <x v="2"/>
          </reference>
        </references>
      </pivotArea>
    </chartFormat>
    <chartFormat chart="15" format="9">
      <pivotArea type="data" outline="0" fieldPosition="0">
        <references count="2">
          <reference field="4294967294" count="1" selected="0">
            <x v="0"/>
          </reference>
          <reference field="0" count="1" selected="0">
            <x v="3"/>
          </reference>
        </references>
      </pivotArea>
    </chartFormat>
    <chartFormat chart="15" format="10">
      <pivotArea type="data" outline="0" fieldPosition="0">
        <references count="2">
          <reference field="4294967294" count="1" selected="0">
            <x v="0"/>
          </reference>
          <reference field="0" count="1" selected="0">
            <x v="4"/>
          </reference>
        </references>
      </pivotArea>
    </chartFormat>
    <chartFormat chart="15" format="11">
      <pivotArea type="data" outline="0" fieldPosition="0">
        <references count="2">
          <reference field="4294967294" count="1" selected="0">
            <x v="0"/>
          </reference>
          <reference field="0" count="1" selected="0">
            <x v="5"/>
          </reference>
        </references>
      </pivotArea>
    </chartFormat>
    <chartFormat chart="15" format="12">
      <pivotArea type="data" outline="0" fieldPosition="0">
        <references count="2">
          <reference field="4294967294" count="1" selected="0">
            <x v="0"/>
          </reference>
          <reference field="0" count="1" selected="0">
            <x v="6"/>
          </reference>
        </references>
      </pivotArea>
    </chartFormat>
    <chartFormat chart="15" format="13">
      <pivotArea type="data" outline="0" fieldPosition="0">
        <references count="2">
          <reference field="4294967294" count="1" selected="0">
            <x v="0"/>
          </reference>
          <reference field="0" count="1" selected="0">
            <x v="7"/>
          </reference>
        </references>
      </pivotArea>
    </chartFormat>
    <chartFormat chart="15" format="14">
      <pivotArea type="data" outline="0" fieldPosition="0">
        <references count="2">
          <reference field="4294967294" count="1" selected="0">
            <x v="0"/>
          </reference>
          <reference field="0" count="1" selected="0">
            <x v="8"/>
          </reference>
        </references>
      </pivotArea>
    </chartFormat>
    <chartFormat chart="15" format="15">
      <pivotArea type="data" outline="0" fieldPosition="0">
        <references count="2">
          <reference field="4294967294" count="1" selected="0">
            <x v="0"/>
          </reference>
          <reference field="0" count="1" selected="0">
            <x v="9"/>
          </reference>
        </references>
      </pivotArea>
    </chartFormat>
    <chartFormat chart="15" format="16">
      <pivotArea type="data" outline="0" fieldPosition="0">
        <references count="2">
          <reference field="4294967294" count="1" selected="0">
            <x v="0"/>
          </reference>
          <reference field="0" count="1" selected="0">
            <x v="10"/>
          </reference>
        </references>
      </pivotArea>
    </chartFormat>
    <chartFormat chart="15" format="17">
      <pivotArea type="data" outline="0" fieldPosition="0">
        <references count="2">
          <reference field="4294967294" count="1" selected="0">
            <x v="1"/>
          </reference>
          <reference field="0" count="1" selected="0">
            <x v="0"/>
          </reference>
        </references>
      </pivotArea>
    </chartFormat>
    <chartFormat chart="15" format="18">
      <pivotArea type="data" outline="0" fieldPosition="0">
        <references count="2">
          <reference field="4294967294" count="1" selected="0">
            <x v="1"/>
          </reference>
          <reference field="0" count="1" selected="0">
            <x v="1"/>
          </reference>
        </references>
      </pivotArea>
    </chartFormat>
    <chartFormat chart="15" format="19">
      <pivotArea type="data" outline="0" fieldPosition="0">
        <references count="2">
          <reference field="4294967294" count="1" selected="0">
            <x v="1"/>
          </reference>
          <reference field="0" count="1" selected="0">
            <x v="2"/>
          </reference>
        </references>
      </pivotArea>
    </chartFormat>
    <chartFormat chart="15" format="20">
      <pivotArea type="data" outline="0" fieldPosition="0">
        <references count="2">
          <reference field="4294967294" count="1" selected="0">
            <x v="1"/>
          </reference>
          <reference field="0" count="1" selected="0">
            <x v="3"/>
          </reference>
        </references>
      </pivotArea>
    </chartFormat>
    <chartFormat chart="15" format="21">
      <pivotArea type="data" outline="0" fieldPosition="0">
        <references count="2">
          <reference field="4294967294" count="1" selected="0">
            <x v="1"/>
          </reference>
          <reference field="0" count="1" selected="0">
            <x v="4"/>
          </reference>
        </references>
      </pivotArea>
    </chartFormat>
    <chartFormat chart="15" format="22">
      <pivotArea type="data" outline="0" fieldPosition="0">
        <references count="2">
          <reference field="4294967294" count="1" selected="0">
            <x v="1"/>
          </reference>
          <reference field="0" count="1" selected="0">
            <x v="5"/>
          </reference>
        </references>
      </pivotArea>
    </chartFormat>
    <chartFormat chart="15" format="23">
      <pivotArea type="data" outline="0" fieldPosition="0">
        <references count="2">
          <reference field="4294967294" count="1" selected="0">
            <x v="1"/>
          </reference>
          <reference field="0" count="1" selected="0">
            <x v="6"/>
          </reference>
        </references>
      </pivotArea>
    </chartFormat>
    <chartFormat chart="15" format="24">
      <pivotArea type="data" outline="0" fieldPosition="0">
        <references count="2">
          <reference field="4294967294" count="1" selected="0">
            <x v="1"/>
          </reference>
          <reference field="0" count="1" selected="0">
            <x v="7"/>
          </reference>
        </references>
      </pivotArea>
    </chartFormat>
    <chartFormat chart="15" format="25">
      <pivotArea type="data" outline="0" fieldPosition="0">
        <references count="2">
          <reference field="4294967294" count="1" selected="0">
            <x v="1"/>
          </reference>
          <reference field="0" count="1" selected="0">
            <x v="8"/>
          </reference>
        </references>
      </pivotArea>
    </chartFormat>
    <chartFormat chart="15" format="26">
      <pivotArea type="data" outline="0" fieldPosition="0">
        <references count="2">
          <reference field="4294967294" count="1" selected="0">
            <x v="1"/>
          </reference>
          <reference field="0" count="1" selected="0">
            <x v="9"/>
          </reference>
        </references>
      </pivotArea>
    </chartFormat>
    <chartFormat chart="15" format="27">
      <pivotArea type="data" outline="0" fieldPosition="0">
        <references count="2">
          <reference field="4294967294" count="1" selected="0">
            <x v="1"/>
          </reference>
          <reference field="0" count="1" selected="0">
            <x v="10"/>
          </reference>
        </references>
      </pivotArea>
    </chartFormat>
    <chartFormat chart="15" format="28">
      <pivotArea type="data" outline="0" fieldPosition="0">
        <references count="2">
          <reference field="4294967294" count="1" selected="0">
            <x v="2"/>
          </reference>
          <reference field="0" count="1" selected="0">
            <x v="0"/>
          </reference>
        </references>
      </pivotArea>
    </chartFormat>
    <chartFormat chart="15" format="29">
      <pivotArea type="data" outline="0" fieldPosition="0">
        <references count="2">
          <reference field="4294967294" count="1" selected="0">
            <x v="2"/>
          </reference>
          <reference field="0" count="1" selected="0">
            <x v="1"/>
          </reference>
        </references>
      </pivotArea>
    </chartFormat>
    <chartFormat chart="15" format="30">
      <pivotArea type="data" outline="0" fieldPosition="0">
        <references count="2">
          <reference field="4294967294" count="1" selected="0">
            <x v="2"/>
          </reference>
          <reference field="0" count="1" selected="0">
            <x v="2"/>
          </reference>
        </references>
      </pivotArea>
    </chartFormat>
    <chartFormat chart="15" format="31">
      <pivotArea type="data" outline="0" fieldPosition="0">
        <references count="2">
          <reference field="4294967294" count="1" selected="0">
            <x v="2"/>
          </reference>
          <reference field="0" count="1" selected="0">
            <x v="3"/>
          </reference>
        </references>
      </pivotArea>
    </chartFormat>
    <chartFormat chart="15" format="32">
      <pivotArea type="data" outline="0" fieldPosition="0">
        <references count="2">
          <reference field="4294967294" count="1" selected="0">
            <x v="2"/>
          </reference>
          <reference field="0" count="1" selected="0">
            <x v="4"/>
          </reference>
        </references>
      </pivotArea>
    </chartFormat>
    <chartFormat chart="15" format="33">
      <pivotArea type="data" outline="0" fieldPosition="0">
        <references count="2">
          <reference field="4294967294" count="1" selected="0">
            <x v="2"/>
          </reference>
          <reference field="0" count="1" selected="0">
            <x v="5"/>
          </reference>
        </references>
      </pivotArea>
    </chartFormat>
    <chartFormat chart="15" format="34">
      <pivotArea type="data" outline="0" fieldPosition="0">
        <references count="2">
          <reference field="4294967294" count="1" selected="0">
            <x v="2"/>
          </reference>
          <reference field="0" count="1" selected="0">
            <x v="6"/>
          </reference>
        </references>
      </pivotArea>
    </chartFormat>
    <chartFormat chart="15" format="35">
      <pivotArea type="data" outline="0" fieldPosition="0">
        <references count="2">
          <reference field="4294967294" count="1" selected="0">
            <x v="2"/>
          </reference>
          <reference field="0" count="1" selected="0">
            <x v="7"/>
          </reference>
        </references>
      </pivotArea>
    </chartFormat>
    <chartFormat chart="15" format="36">
      <pivotArea type="data" outline="0" fieldPosition="0">
        <references count="2">
          <reference field="4294967294" count="1" selected="0">
            <x v="2"/>
          </reference>
          <reference field="0" count="1" selected="0">
            <x v="8"/>
          </reference>
        </references>
      </pivotArea>
    </chartFormat>
    <chartFormat chart="15" format="37">
      <pivotArea type="data" outline="0" fieldPosition="0">
        <references count="2">
          <reference field="4294967294" count="1" selected="0">
            <x v="2"/>
          </reference>
          <reference field="0" count="1" selected="0">
            <x v="9"/>
          </reference>
        </references>
      </pivotArea>
    </chartFormat>
    <chartFormat chart="15" format="38">
      <pivotArea type="data" outline="0" fieldPosition="0">
        <references count="2">
          <reference field="4294967294" count="1" selected="0">
            <x v="2"/>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I4:K16" firstHeaderRow="0" firstDataRow="1" firstDataCol="1"/>
  <pivotFields count="6">
    <pivotField axis="axisRow" showAll="0">
      <items count="12">
        <item x="6"/>
        <item x="3"/>
        <item x="1"/>
        <item x="9"/>
        <item x="8"/>
        <item x="0"/>
        <item x="10"/>
        <item x="4"/>
        <item x="5"/>
        <item x="2"/>
        <item x="7"/>
        <item t="default"/>
      </items>
    </pivotField>
    <pivotField dataField="1" showAll="0"/>
    <pivotField dataField="1" showAll="0">
      <items count="12">
        <item x="3"/>
        <item x="2"/>
        <item x="1"/>
        <item x="4"/>
        <item x="7"/>
        <item x="5"/>
        <item x="0"/>
        <item x="8"/>
        <item x="6"/>
        <item x="9"/>
        <item x="10"/>
        <item t="default"/>
      </items>
    </pivotField>
    <pivotField showAll="0">
      <items count="8">
        <item x="3"/>
        <item x="2"/>
        <item x="6"/>
        <item x="4"/>
        <item x="5"/>
        <item x="1"/>
        <item x="0"/>
        <item t="default"/>
      </items>
    </pivotField>
    <pivotField showAll="0"/>
    <pivotField numFmtId="14" showAl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Monthly budget" fld="1" baseField="0" baseItem="0"/>
    <dataField name="Sum of Actual spent" fld="2" baseField="0" baseItem="0"/>
  </dataFields>
  <chartFormats count="4">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1"/>
    <pivotTable tabId="4" name="PivotTable3"/>
    <pivotTable tabId="4" name="PivotTable4"/>
    <pivotTable tabId="4" name="PivotTable5"/>
  </pivotTables>
  <data>
    <tabular pivotCacheId="1">
      <items count="11">
        <i x="6" s="1"/>
        <i x="3" s="1"/>
        <i x="1" s="1"/>
        <i x="9" s="1"/>
        <i x="8" s="1"/>
        <i x="0" s="1"/>
        <i x="10" s="1"/>
        <i x="4" s="1"/>
        <i x="5"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maining" sourceName="Remaining">
  <pivotTables>
    <pivotTable tabId="4" name="PivotTable1"/>
    <pivotTable tabId="4" name="PivotTable3"/>
    <pivotTable tabId="4" name="PivotTable4"/>
    <pivotTable tabId="4" name="PivotTable5"/>
  </pivotTables>
  <data>
    <tabular pivotCacheId="1">
      <items count="7">
        <i x="3" s="1"/>
        <i x="2" s="1"/>
        <i x="6" s="1"/>
        <i x="4" s="1"/>
        <i x="5"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ctual_spent" sourceName="Actual spent">
  <pivotTables>
    <pivotTable tabId="4" name="PivotTable1"/>
    <pivotTable tabId="4" name="PivotTable3"/>
    <pivotTable tabId="4" name="PivotTable4"/>
    <pivotTable tabId="4" name="PivotTable5"/>
  </pivotTables>
  <data>
    <tabular pivotCacheId="1">
      <items count="11">
        <i x="3" s="1"/>
        <i x="2" s="1"/>
        <i x="1" s="1"/>
        <i x="4" s="1"/>
        <i x="7" s="1"/>
        <i x="5" s="1"/>
        <i x="0" s="1"/>
        <i x="8" s="1"/>
        <i x="6"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 name="Remaining" cache="Slicer_Remaining" caption="Remaining" rowHeight="234950"/>
  <slicer name="Actual spent" cache="Slicer_Actual_spent" caption="Actual spent"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rowHeight="234950"/>
  <slicer name="Remaining 1" cache="Slicer_Remaining" caption="Remaining" rowHeight="234950"/>
  <slicer name="Actual spent 1" cache="Slicer_Actual_spent" caption="Actual sp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27"/>
  <sheetViews>
    <sheetView zoomScale="62" zoomScaleNormal="49" workbookViewId="0">
      <selection activeCell="C45" sqref="C45"/>
    </sheetView>
  </sheetViews>
  <sheetFormatPr defaultRowHeight="14.4" x14ac:dyDescent="0.3"/>
  <cols>
    <col min="1" max="1" width="18.44140625" customWidth="1"/>
    <col min="2" max="2" width="28.109375" customWidth="1"/>
    <col min="3" max="3" width="24.44140625" customWidth="1"/>
    <col min="5" max="5" width="17.6640625" bestFit="1" customWidth="1"/>
    <col min="6" max="6" width="28.109375" customWidth="1"/>
    <col min="7" max="7" width="22.33203125" customWidth="1"/>
    <col min="9" max="9" width="17.6640625" bestFit="1" customWidth="1"/>
    <col min="10" max="10" width="28.109375" customWidth="1"/>
    <col min="11" max="11" width="24.44140625" customWidth="1"/>
    <col min="13" max="13" width="17.6640625" bestFit="1" customWidth="1"/>
    <col min="14" max="14" width="28.109375" customWidth="1"/>
    <col min="15" max="15" width="24.44140625" customWidth="1"/>
    <col min="16" max="16" width="22.33203125" customWidth="1"/>
  </cols>
  <sheetData>
    <row r="3" spans="1:16" x14ac:dyDescent="0.3">
      <c r="A3" s="2" t="s">
        <v>35</v>
      </c>
      <c r="B3" t="s">
        <v>37</v>
      </c>
      <c r="C3" t="s">
        <v>38</v>
      </c>
      <c r="E3" s="2" t="s">
        <v>35</v>
      </c>
      <c r="F3" t="s">
        <v>37</v>
      </c>
      <c r="G3" t="s">
        <v>39</v>
      </c>
    </row>
    <row r="4" spans="1:16" x14ac:dyDescent="0.3">
      <c r="A4" s="3" t="s">
        <v>9</v>
      </c>
      <c r="B4" s="4">
        <v>900</v>
      </c>
      <c r="C4" s="4">
        <v>700</v>
      </c>
      <c r="E4" s="3" t="s">
        <v>9</v>
      </c>
      <c r="F4" s="4">
        <v>900</v>
      </c>
      <c r="G4" s="4">
        <v>200</v>
      </c>
      <c r="I4" s="2" t="s">
        <v>35</v>
      </c>
      <c r="J4" t="s">
        <v>37</v>
      </c>
      <c r="K4" t="s">
        <v>38</v>
      </c>
    </row>
    <row r="5" spans="1:16" x14ac:dyDescent="0.3">
      <c r="A5" s="5" t="s">
        <v>32</v>
      </c>
      <c r="B5" s="4">
        <v>900</v>
      </c>
      <c r="C5" s="4">
        <v>700</v>
      </c>
      <c r="E5" s="3" t="s">
        <v>7</v>
      </c>
      <c r="F5" s="4">
        <v>150</v>
      </c>
      <c r="G5" s="4">
        <v>50</v>
      </c>
      <c r="I5" s="3" t="s">
        <v>9</v>
      </c>
      <c r="J5" s="4">
        <v>900</v>
      </c>
      <c r="K5" s="4">
        <v>700</v>
      </c>
      <c r="M5" s="2" t="s">
        <v>35</v>
      </c>
      <c r="N5" t="s">
        <v>37</v>
      </c>
      <c r="O5" t="s">
        <v>38</v>
      </c>
      <c r="P5" t="s">
        <v>39</v>
      </c>
    </row>
    <row r="6" spans="1:16" x14ac:dyDescent="0.3">
      <c r="A6" s="3" t="s">
        <v>7</v>
      </c>
      <c r="B6" s="4">
        <v>150</v>
      </c>
      <c r="C6" s="4">
        <v>100</v>
      </c>
      <c r="E6" s="3" t="s">
        <v>2</v>
      </c>
      <c r="F6" s="4">
        <v>500</v>
      </c>
      <c r="G6" s="4">
        <v>250</v>
      </c>
      <c r="I6" s="3" t="s">
        <v>7</v>
      </c>
      <c r="J6" s="4">
        <v>150</v>
      </c>
      <c r="K6" s="4">
        <v>100</v>
      </c>
      <c r="M6" s="3" t="s">
        <v>9</v>
      </c>
      <c r="N6" s="4">
        <v>900</v>
      </c>
      <c r="O6" s="4">
        <v>700</v>
      </c>
      <c r="P6" s="4">
        <v>200</v>
      </c>
    </row>
    <row r="7" spans="1:16" x14ac:dyDescent="0.3">
      <c r="A7" s="5" t="s">
        <v>32</v>
      </c>
      <c r="B7" s="4">
        <v>150</v>
      </c>
      <c r="C7" s="4">
        <v>100</v>
      </c>
      <c r="E7" s="3" t="s">
        <v>12</v>
      </c>
      <c r="F7" s="4">
        <v>800</v>
      </c>
      <c r="G7" s="4">
        <v>70</v>
      </c>
      <c r="I7" s="3" t="s">
        <v>2</v>
      </c>
      <c r="J7" s="4">
        <v>500</v>
      </c>
      <c r="K7" s="4">
        <v>250</v>
      </c>
      <c r="M7" s="3" t="s">
        <v>7</v>
      </c>
      <c r="N7" s="4">
        <v>150</v>
      </c>
      <c r="O7" s="4">
        <v>100</v>
      </c>
      <c r="P7" s="4">
        <v>50</v>
      </c>
    </row>
    <row r="8" spans="1:16" x14ac:dyDescent="0.3">
      <c r="A8" s="3" t="s">
        <v>2</v>
      </c>
      <c r="B8" s="4">
        <v>500</v>
      </c>
      <c r="C8" s="4">
        <v>250</v>
      </c>
      <c r="E8" s="3" t="s">
        <v>11</v>
      </c>
      <c r="F8" s="4">
        <v>650</v>
      </c>
      <c r="G8" s="4">
        <v>100</v>
      </c>
      <c r="I8" s="3" t="s">
        <v>12</v>
      </c>
      <c r="J8" s="4">
        <v>800</v>
      </c>
      <c r="K8" s="4">
        <v>730</v>
      </c>
      <c r="M8" s="3" t="s">
        <v>2</v>
      </c>
      <c r="N8" s="4">
        <v>500</v>
      </c>
      <c r="O8" s="4">
        <v>250</v>
      </c>
      <c r="P8" s="4">
        <v>250</v>
      </c>
    </row>
    <row r="9" spans="1:16" x14ac:dyDescent="0.3">
      <c r="A9" s="5" t="s">
        <v>32</v>
      </c>
      <c r="B9" s="4">
        <v>500</v>
      </c>
      <c r="C9" s="4">
        <v>250</v>
      </c>
      <c r="E9" s="3" t="s">
        <v>1</v>
      </c>
      <c r="F9" s="4">
        <v>1000</v>
      </c>
      <c r="G9" s="4">
        <v>500</v>
      </c>
      <c r="I9" s="3" t="s">
        <v>11</v>
      </c>
      <c r="J9" s="4">
        <v>650</v>
      </c>
      <c r="K9" s="4">
        <v>550</v>
      </c>
      <c r="M9" s="3" t="s">
        <v>12</v>
      </c>
      <c r="N9" s="4">
        <v>800</v>
      </c>
      <c r="O9" s="4">
        <v>730</v>
      </c>
      <c r="P9" s="4">
        <v>70</v>
      </c>
    </row>
    <row r="10" spans="1:16" x14ac:dyDescent="0.3">
      <c r="A10" s="3" t="s">
        <v>12</v>
      </c>
      <c r="B10" s="4">
        <v>800</v>
      </c>
      <c r="C10" s="4">
        <v>730</v>
      </c>
      <c r="E10" s="3" t="s">
        <v>13</v>
      </c>
      <c r="F10" s="4">
        <v>3000</v>
      </c>
      <c r="G10" s="4">
        <v>500</v>
      </c>
      <c r="I10" s="3" t="s">
        <v>1</v>
      </c>
      <c r="J10" s="4">
        <v>1000</v>
      </c>
      <c r="K10" s="4">
        <v>500</v>
      </c>
      <c r="M10" s="3" t="s">
        <v>11</v>
      </c>
      <c r="N10" s="4">
        <v>650</v>
      </c>
      <c r="O10" s="4">
        <v>550</v>
      </c>
      <c r="P10" s="4">
        <v>100</v>
      </c>
    </row>
    <row r="11" spans="1:16" x14ac:dyDescent="0.3">
      <c r="A11" s="5" t="s">
        <v>32</v>
      </c>
      <c r="B11" s="4">
        <v>800</v>
      </c>
      <c r="C11" s="4">
        <v>730</v>
      </c>
      <c r="E11" s="3" t="s">
        <v>4</v>
      </c>
      <c r="F11" s="4">
        <v>800</v>
      </c>
      <c r="G11" s="4">
        <v>50</v>
      </c>
      <c r="I11" s="3" t="s">
        <v>13</v>
      </c>
      <c r="J11" s="4">
        <v>3000</v>
      </c>
      <c r="K11" s="4">
        <v>2500</v>
      </c>
      <c r="M11" s="3" t="s">
        <v>1</v>
      </c>
      <c r="N11" s="4">
        <v>1000</v>
      </c>
      <c r="O11" s="4">
        <v>500</v>
      </c>
      <c r="P11" s="4">
        <v>500</v>
      </c>
    </row>
    <row r="12" spans="1:16" x14ac:dyDescent="0.3">
      <c r="A12" s="3" t="s">
        <v>11</v>
      </c>
      <c r="B12" s="4">
        <v>650</v>
      </c>
      <c r="C12" s="4">
        <v>550</v>
      </c>
      <c r="E12" s="3" t="s">
        <v>8</v>
      </c>
      <c r="F12" s="4">
        <v>400</v>
      </c>
      <c r="G12" s="4">
        <v>100</v>
      </c>
      <c r="I12" s="3" t="s">
        <v>4</v>
      </c>
      <c r="J12" s="4">
        <v>800</v>
      </c>
      <c r="K12" s="4">
        <v>750</v>
      </c>
      <c r="M12" s="3" t="s">
        <v>13</v>
      </c>
      <c r="N12" s="4">
        <v>3000</v>
      </c>
      <c r="O12" s="4">
        <v>2500</v>
      </c>
      <c r="P12" s="4">
        <v>500</v>
      </c>
    </row>
    <row r="13" spans="1:16" x14ac:dyDescent="0.3">
      <c r="A13" s="5" t="s">
        <v>32</v>
      </c>
      <c r="B13" s="4">
        <v>650</v>
      </c>
      <c r="C13" s="4">
        <v>550</v>
      </c>
      <c r="E13" s="3" t="s">
        <v>3</v>
      </c>
      <c r="F13" s="4">
        <v>200</v>
      </c>
      <c r="G13" s="4">
        <v>50</v>
      </c>
      <c r="I13" s="3" t="s">
        <v>8</v>
      </c>
      <c r="J13" s="4">
        <v>400</v>
      </c>
      <c r="K13" s="4">
        <v>300</v>
      </c>
      <c r="M13" s="3" t="s">
        <v>4</v>
      </c>
      <c r="N13" s="4">
        <v>800</v>
      </c>
      <c r="O13" s="4">
        <v>750</v>
      </c>
      <c r="P13" s="4">
        <v>50</v>
      </c>
    </row>
    <row r="14" spans="1:16" x14ac:dyDescent="0.3">
      <c r="A14" s="3" t="s">
        <v>1</v>
      </c>
      <c r="B14" s="4">
        <v>1000</v>
      </c>
      <c r="C14" s="4">
        <v>500</v>
      </c>
      <c r="E14" s="3" t="s">
        <v>10</v>
      </c>
      <c r="F14" s="4">
        <v>400</v>
      </c>
      <c r="G14" s="4">
        <v>50</v>
      </c>
      <c r="I14" s="3" t="s">
        <v>3</v>
      </c>
      <c r="J14" s="4">
        <v>200</v>
      </c>
      <c r="K14" s="4">
        <v>150</v>
      </c>
      <c r="M14" s="3" t="s">
        <v>8</v>
      </c>
      <c r="N14" s="4">
        <v>400</v>
      </c>
      <c r="O14" s="4">
        <v>300</v>
      </c>
      <c r="P14" s="4">
        <v>100</v>
      </c>
    </row>
    <row r="15" spans="1:16" x14ac:dyDescent="0.3">
      <c r="A15" s="5" t="s">
        <v>32</v>
      </c>
      <c r="B15" s="4">
        <v>1000</v>
      </c>
      <c r="C15" s="4">
        <v>500</v>
      </c>
      <c r="E15" s="3" t="s">
        <v>36</v>
      </c>
      <c r="F15" s="4">
        <v>8800</v>
      </c>
      <c r="G15" s="4">
        <v>1920</v>
      </c>
      <c r="I15" s="3" t="s">
        <v>10</v>
      </c>
      <c r="J15" s="4">
        <v>400</v>
      </c>
      <c r="K15" s="4">
        <v>350</v>
      </c>
      <c r="M15" s="3" t="s">
        <v>3</v>
      </c>
      <c r="N15" s="4">
        <v>200</v>
      </c>
      <c r="O15" s="4">
        <v>150</v>
      </c>
      <c r="P15" s="4">
        <v>50</v>
      </c>
    </row>
    <row r="16" spans="1:16" x14ac:dyDescent="0.3">
      <c r="A16" s="3" t="s">
        <v>13</v>
      </c>
      <c r="B16" s="4">
        <v>3000</v>
      </c>
      <c r="C16" s="4">
        <v>2500</v>
      </c>
      <c r="I16" s="3" t="s">
        <v>36</v>
      </c>
      <c r="J16" s="4">
        <v>8800</v>
      </c>
      <c r="K16" s="4">
        <v>6880</v>
      </c>
      <c r="M16" s="3" t="s">
        <v>10</v>
      </c>
      <c r="N16" s="4">
        <v>400</v>
      </c>
      <c r="O16" s="4">
        <v>350</v>
      </c>
      <c r="P16" s="4">
        <v>50</v>
      </c>
    </row>
    <row r="17" spans="1:16" x14ac:dyDescent="0.3">
      <c r="A17" s="5" t="s">
        <v>32</v>
      </c>
      <c r="B17" s="4">
        <v>3000</v>
      </c>
      <c r="C17" s="4">
        <v>2500</v>
      </c>
      <c r="M17" s="3" t="s">
        <v>36</v>
      </c>
      <c r="N17" s="4">
        <v>8800</v>
      </c>
      <c r="O17" s="4">
        <v>6880</v>
      </c>
      <c r="P17" s="4">
        <v>1920</v>
      </c>
    </row>
    <row r="18" spans="1:16" x14ac:dyDescent="0.3">
      <c r="A18" s="3" t="s">
        <v>4</v>
      </c>
      <c r="B18" s="4">
        <v>800</v>
      </c>
      <c r="C18" s="4">
        <v>750</v>
      </c>
    </row>
    <row r="19" spans="1:16" x14ac:dyDescent="0.3">
      <c r="A19" s="5" t="s">
        <v>32</v>
      </c>
      <c r="B19" s="4">
        <v>800</v>
      </c>
      <c r="C19" s="4">
        <v>750</v>
      </c>
    </row>
    <row r="20" spans="1:16" x14ac:dyDescent="0.3">
      <c r="A20" s="3" t="s">
        <v>8</v>
      </c>
      <c r="B20" s="4">
        <v>400</v>
      </c>
      <c r="C20" s="4">
        <v>300</v>
      </c>
    </row>
    <row r="21" spans="1:16" x14ac:dyDescent="0.3">
      <c r="A21" s="5" t="s">
        <v>32</v>
      </c>
      <c r="B21" s="4">
        <v>400</v>
      </c>
      <c r="C21" s="4">
        <v>300</v>
      </c>
    </row>
    <row r="22" spans="1:16" x14ac:dyDescent="0.3">
      <c r="A22" s="3" t="s">
        <v>3</v>
      </c>
      <c r="B22" s="4">
        <v>200</v>
      </c>
      <c r="C22" s="4">
        <v>150</v>
      </c>
    </row>
    <row r="23" spans="1:16" x14ac:dyDescent="0.3">
      <c r="A23" s="5" t="s">
        <v>32</v>
      </c>
      <c r="B23" s="4">
        <v>200</v>
      </c>
      <c r="C23" s="4">
        <v>150</v>
      </c>
    </row>
    <row r="24" spans="1:16" x14ac:dyDescent="0.3">
      <c r="A24" s="3" t="s">
        <v>10</v>
      </c>
      <c r="B24" s="4">
        <v>400</v>
      </c>
      <c r="C24" s="4">
        <v>350</v>
      </c>
    </row>
    <row r="25" spans="1:16" x14ac:dyDescent="0.3">
      <c r="A25" s="5" t="s">
        <v>32</v>
      </c>
      <c r="B25" s="4">
        <v>400</v>
      </c>
      <c r="C25" s="4">
        <v>350</v>
      </c>
    </row>
    <row r="26" spans="1:16" x14ac:dyDescent="0.3">
      <c r="A26" s="3" t="s">
        <v>36</v>
      </c>
      <c r="B26" s="4">
        <v>8800</v>
      </c>
      <c r="C26" s="4">
        <v>6880</v>
      </c>
    </row>
    <row r="27" spans="1:16" ht="2.4" customHeight="1" x14ac:dyDescent="0.3"/>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F2" sqref="F2"/>
    </sheetView>
  </sheetViews>
  <sheetFormatPr defaultRowHeight="14.4" x14ac:dyDescent="0.3"/>
  <cols>
    <col min="1" max="1" width="11.44140625" customWidth="1"/>
    <col min="2" max="2" width="14" customWidth="1"/>
    <col min="3" max="3" width="11.21875" customWidth="1"/>
    <col min="6" max="6" width="10.33203125" bestFit="1" customWidth="1"/>
  </cols>
  <sheetData>
    <row r="1" spans="1:6" x14ac:dyDescent="0.3">
      <c r="A1" t="s">
        <v>0</v>
      </c>
      <c r="B1" t="s">
        <v>5</v>
      </c>
      <c r="C1" t="s">
        <v>33</v>
      </c>
      <c r="D1" t="s">
        <v>34</v>
      </c>
      <c r="E1" t="s">
        <v>31</v>
      </c>
      <c r="F1" t="s">
        <v>6</v>
      </c>
    </row>
    <row r="2" spans="1:6" x14ac:dyDescent="0.3">
      <c r="A2" t="s">
        <v>1</v>
      </c>
      <c r="B2">
        <v>1000</v>
      </c>
      <c r="C2">
        <v>500</v>
      </c>
      <c r="D2">
        <f>B2-C2</f>
        <v>500</v>
      </c>
      <c r="E2" t="s">
        <v>32</v>
      </c>
      <c r="F2" s="1">
        <v>45658</v>
      </c>
    </row>
    <row r="3" spans="1:6" x14ac:dyDescent="0.3">
      <c r="A3" t="s">
        <v>2</v>
      </c>
      <c r="B3">
        <v>500</v>
      </c>
      <c r="C3">
        <v>250</v>
      </c>
      <c r="D3">
        <f t="shared" ref="D3:D13" si="0">B3-C3</f>
        <v>250</v>
      </c>
      <c r="E3" t="s">
        <v>32</v>
      </c>
      <c r="F3" s="1">
        <v>45659</v>
      </c>
    </row>
    <row r="4" spans="1:6" x14ac:dyDescent="0.3">
      <c r="A4" t="s">
        <v>3</v>
      </c>
      <c r="B4">
        <v>200</v>
      </c>
      <c r="C4">
        <v>150</v>
      </c>
      <c r="D4">
        <f t="shared" si="0"/>
        <v>50</v>
      </c>
      <c r="E4" t="s">
        <v>32</v>
      </c>
      <c r="F4" s="1">
        <v>45660</v>
      </c>
    </row>
    <row r="5" spans="1:6" x14ac:dyDescent="0.3">
      <c r="A5" t="s">
        <v>7</v>
      </c>
      <c r="B5">
        <v>150</v>
      </c>
      <c r="C5">
        <v>100</v>
      </c>
      <c r="D5">
        <f t="shared" si="0"/>
        <v>50</v>
      </c>
      <c r="E5" t="s">
        <v>32</v>
      </c>
      <c r="F5" s="1">
        <v>45661</v>
      </c>
    </row>
    <row r="6" spans="1:6" x14ac:dyDescent="0.3">
      <c r="A6" t="s">
        <v>4</v>
      </c>
      <c r="B6">
        <v>300</v>
      </c>
      <c r="C6">
        <v>300</v>
      </c>
      <c r="D6">
        <f t="shared" si="0"/>
        <v>0</v>
      </c>
      <c r="E6" t="s">
        <v>32</v>
      </c>
      <c r="F6" s="1">
        <v>45662</v>
      </c>
    </row>
    <row r="7" spans="1:6" x14ac:dyDescent="0.3">
      <c r="A7" t="s">
        <v>4</v>
      </c>
      <c r="B7">
        <v>500</v>
      </c>
      <c r="C7">
        <v>450</v>
      </c>
      <c r="D7">
        <f t="shared" si="0"/>
        <v>50</v>
      </c>
      <c r="E7" t="s">
        <v>32</v>
      </c>
      <c r="F7" s="1">
        <v>45663</v>
      </c>
    </row>
    <row r="8" spans="1:6" x14ac:dyDescent="0.3">
      <c r="A8" t="s">
        <v>8</v>
      </c>
      <c r="B8">
        <v>400</v>
      </c>
      <c r="C8">
        <v>300</v>
      </c>
      <c r="D8">
        <f t="shared" si="0"/>
        <v>100</v>
      </c>
      <c r="E8" t="s">
        <v>32</v>
      </c>
      <c r="F8" s="1">
        <v>45664</v>
      </c>
    </row>
    <row r="9" spans="1:6" x14ac:dyDescent="0.3">
      <c r="A9" t="s">
        <v>9</v>
      </c>
      <c r="B9">
        <v>900</v>
      </c>
      <c r="C9">
        <v>700</v>
      </c>
      <c r="D9">
        <f t="shared" si="0"/>
        <v>200</v>
      </c>
      <c r="E9" t="s">
        <v>32</v>
      </c>
      <c r="F9" s="1">
        <v>45665</v>
      </c>
    </row>
    <row r="10" spans="1:6" x14ac:dyDescent="0.3">
      <c r="A10" t="s">
        <v>10</v>
      </c>
      <c r="B10">
        <v>400</v>
      </c>
      <c r="C10">
        <v>350</v>
      </c>
      <c r="D10">
        <f t="shared" si="0"/>
        <v>50</v>
      </c>
      <c r="E10" t="s">
        <v>32</v>
      </c>
      <c r="F10" s="1">
        <v>45666</v>
      </c>
    </row>
    <row r="11" spans="1:6" x14ac:dyDescent="0.3">
      <c r="A11" t="s">
        <v>11</v>
      </c>
      <c r="B11">
        <v>650</v>
      </c>
      <c r="C11">
        <v>550</v>
      </c>
      <c r="D11">
        <f t="shared" si="0"/>
        <v>100</v>
      </c>
      <c r="E11" t="s">
        <v>32</v>
      </c>
      <c r="F11" s="1">
        <v>45667</v>
      </c>
    </row>
    <row r="12" spans="1:6" x14ac:dyDescent="0.3">
      <c r="A12" t="s">
        <v>12</v>
      </c>
      <c r="B12">
        <v>800</v>
      </c>
      <c r="C12">
        <v>730</v>
      </c>
      <c r="D12">
        <f t="shared" si="0"/>
        <v>70</v>
      </c>
      <c r="E12" t="s">
        <v>32</v>
      </c>
      <c r="F12" s="1">
        <v>45668</v>
      </c>
    </row>
    <row r="13" spans="1:6" x14ac:dyDescent="0.3">
      <c r="A13" t="s">
        <v>13</v>
      </c>
      <c r="B13">
        <v>3000</v>
      </c>
      <c r="C13">
        <v>2500</v>
      </c>
      <c r="D13">
        <f t="shared" si="0"/>
        <v>500</v>
      </c>
      <c r="E13" t="s">
        <v>32</v>
      </c>
      <c r="F13" s="1">
        <v>45669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10"/>
  <sheetViews>
    <sheetView showGridLines="0" showRowColHeaders="0" tabSelected="1" zoomScale="69" zoomScaleNormal="69" workbookViewId="0">
      <selection activeCell="V11" sqref="V11"/>
    </sheetView>
  </sheetViews>
  <sheetFormatPr defaultRowHeight="14.4" x14ac:dyDescent="0.3"/>
  <cols>
    <col min="1" max="1" width="10.33203125" bestFit="1" customWidth="1"/>
    <col min="2" max="2" width="12.44140625" customWidth="1"/>
    <col min="3" max="3" width="16.33203125" customWidth="1"/>
    <col min="4" max="4" width="11.109375" customWidth="1"/>
  </cols>
  <sheetData>
    <row r="2" spans="1:1" x14ac:dyDescent="0.3">
      <c r="A2" s="1"/>
    </row>
    <row r="3" spans="1:1" x14ac:dyDescent="0.3">
      <c r="A3" s="1"/>
    </row>
    <row r="4" spans="1:1" x14ac:dyDescent="0.3">
      <c r="A4" s="1"/>
    </row>
    <row r="5" spans="1:1" x14ac:dyDescent="0.3">
      <c r="A5" s="1"/>
    </row>
    <row r="6" spans="1:1" x14ac:dyDescent="0.3">
      <c r="A6" s="1"/>
    </row>
    <row r="7" spans="1:1" x14ac:dyDescent="0.3">
      <c r="A7" s="1"/>
    </row>
    <row r="8" spans="1:1" x14ac:dyDescent="0.3">
      <c r="A8" s="1"/>
    </row>
    <row r="9" spans="1:1" x14ac:dyDescent="0.3">
      <c r="A9" s="1"/>
    </row>
    <row r="10" spans="1:1" x14ac:dyDescent="0.3">
      <c r="A10"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selection activeCell="G14" sqref="G14"/>
    </sheetView>
  </sheetViews>
  <sheetFormatPr defaultRowHeight="14.4" x14ac:dyDescent="0.3"/>
  <cols>
    <col min="1" max="1" width="10.33203125" bestFit="1" customWidth="1"/>
    <col min="4" max="4" width="15.77734375" customWidth="1"/>
    <col min="5" max="5" width="12.33203125" customWidth="1"/>
    <col min="6" max="6" width="3.109375" hidden="1" customWidth="1"/>
  </cols>
  <sheetData>
    <row r="1" spans="1:7" x14ac:dyDescent="0.3">
      <c r="A1" t="s">
        <v>6</v>
      </c>
      <c r="B1" t="s">
        <v>0</v>
      </c>
      <c r="C1" t="s">
        <v>14</v>
      </c>
      <c r="D1" t="s">
        <v>17</v>
      </c>
      <c r="E1" t="s">
        <v>30</v>
      </c>
      <c r="G1" t="s">
        <v>31</v>
      </c>
    </row>
    <row r="2" spans="1:7" x14ac:dyDescent="0.3">
      <c r="A2" s="1">
        <v>45658</v>
      </c>
      <c r="B2" t="s">
        <v>1</v>
      </c>
      <c r="C2" t="s">
        <v>16</v>
      </c>
      <c r="D2" t="s">
        <v>18</v>
      </c>
      <c r="E2">
        <v>4500</v>
      </c>
      <c r="G2" t="s">
        <v>32</v>
      </c>
    </row>
    <row r="3" spans="1:7" x14ac:dyDescent="0.3">
      <c r="A3" s="1">
        <v>45659</v>
      </c>
      <c r="B3" t="s">
        <v>2</v>
      </c>
      <c r="C3" t="s">
        <v>16</v>
      </c>
      <c r="D3" t="s">
        <v>19</v>
      </c>
      <c r="E3">
        <v>1500</v>
      </c>
      <c r="G3" t="s">
        <v>32</v>
      </c>
    </row>
    <row r="4" spans="1:7" x14ac:dyDescent="0.3">
      <c r="A4" s="1">
        <v>45660</v>
      </c>
      <c r="B4" t="s">
        <v>3</v>
      </c>
      <c r="C4" t="s">
        <v>16</v>
      </c>
      <c r="D4" t="s">
        <v>20</v>
      </c>
      <c r="E4">
        <v>500</v>
      </c>
      <c r="G4" t="s">
        <v>32</v>
      </c>
    </row>
    <row r="5" spans="1:7" x14ac:dyDescent="0.3">
      <c r="A5" s="1">
        <v>45661</v>
      </c>
      <c r="B5" t="s">
        <v>7</v>
      </c>
      <c r="C5" t="s">
        <v>16</v>
      </c>
      <c r="D5" t="s">
        <v>21</v>
      </c>
      <c r="E5">
        <v>500</v>
      </c>
      <c r="G5" t="s">
        <v>32</v>
      </c>
    </row>
    <row r="6" spans="1:7" x14ac:dyDescent="0.3">
      <c r="A6" s="1">
        <v>45662</v>
      </c>
      <c r="B6" t="s">
        <v>4</v>
      </c>
      <c r="C6" t="s">
        <v>4</v>
      </c>
      <c r="D6" t="s">
        <v>22</v>
      </c>
      <c r="E6">
        <v>1000</v>
      </c>
      <c r="G6" t="s">
        <v>32</v>
      </c>
    </row>
    <row r="7" spans="1:7" x14ac:dyDescent="0.3">
      <c r="A7" s="1">
        <v>45663</v>
      </c>
      <c r="B7" t="s">
        <v>4</v>
      </c>
      <c r="C7" t="s">
        <v>4</v>
      </c>
      <c r="D7" t="s">
        <v>23</v>
      </c>
      <c r="E7">
        <v>1000</v>
      </c>
      <c r="G7" t="s">
        <v>32</v>
      </c>
    </row>
    <row r="8" spans="1:7" x14ac:dyDescent="0.3">
      <c r="A8" s="1">
        <v>45664</v>
      </c>
      <c r="B8" t="s">
        <v>8</v>
      </c>
      <c r="C8" t="s">
        <v>16</v>
      </c>
      <c r="D8" t="s">
        <v>24</v>
      </c>
      <c r="E8">
        <v>2000</v>
      </c>
      <c r="G8" t="s">
        <v>32</v>
      </c>
    </row>
    <row r="9" spans="1:7" x14ac:dyDescent="0.3">
      <c r="A9" s="1">
        <v>45665</v>
      </c>
      <c r="B9" t="s">
        <v>9</v>
      </c>
      <c r="C9" t="s">
        <v>16</v>
      </c>
      <c r="D9" t="s">
        <v>25</v>
      </c>
      <c r="E9">
        <v>1500</v>
      </c>
      <c r="G9" t="s">
        <v>32</v>
      </c>
    </row>
    <row r="10" spans="1:7" x14ac:dyDescent="0.3">
      <c r="A10" s="1">
        <v>45666</v>
      </c>
      <c r="B10" t="s">
        <v>10</v>
      </c>
      <c r="C10" t="s">
        <v>16</v>
      </c>
      <c r="D10" t="s">
        <v>26</v>
      </c>
      <c r="E10">
        <v>700</v>
      </c>
      <c r="G10" t="s">
        <v>32</v>
      </c>
    </row>
    <row r="11" spans="1:7" x14ac:dyDescent="0.3">
      <c r="A11" s="1">
        <v>45667</v>
      </c>
      <c r="B11" t="s">
        <v>11</v>
      </c>
      <c r="C11" t="s">
        <v>16</v>
      </c>
      <c r="D11" t="s">
        <v>27</v>
      </c>
      <c r="E11">
        <v>900</v>
      </c>
      <c r="G11" t="s">
        <v>32</v>
      </c>
    </row>
    <row r="12" spans="1:7" x14ac:dyDescent="0.3">
      <c r="A12" s="1">
        <v>45668</v>
      </c>
      <c r="B12" t="s">
        <v>12</v>
      </c>
      <c r="C12" t="s">
        <v>15</v>
      </c>
      <c r="D12" t="s">
        <v>28</v>
      </c>
      <c r="E12">
        <v>6000</v>
      </c>
      <c r="G12" t="s">
        <v>32</v>
      </c>
    </row>
    <row r="13" spans="1:7" x14ac:dyDescent="0.3">
      <c r="A13" s="1">
        <v>45669</v>
      </c>
      <c r="B13" t="s">
        <v>13</v>
      </c>
      <c r="C13" t="s">
        <v>15</v>
      </c>
      <c r="D13" t="s">
        <v>29</v>
      </c>
      <c r="E13">
        <v>40000</v>
      </c>
      <c r="G13" t="s">
        <v>32</v>
      </c>
    </row>
    <row r="14" spans="1:7" x14ac:dyDescent="0.3">
      <c r="A14" s="1"/>
    </row>
    <row r="15" spans="1:7" x14ac:dyDescent="0.3">
      <c r="A15" s="1"/>
    </row>
    <row r="16" spans="1:7" x14ac:dyDescent="0.3">
      <c r="A16" s="1"/>
    </row>
    <row r="17" spans="1:1" x14ac:dyDescent="0.3">
      <c r="A1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Budget</vt:lpstr>
      <vt:lpstr>Sheet3</vt:lpstr>
      <vt:lpstr>Transactions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KHYATHI SRI  CHEPURI</dc:creator>
  <cp:lastModifiedBy>KHYATHI SRI  CHEPURI</cp:lastModifiedBy>
  <cp:lastPrinted>2026-01-20T14:43:33Z</cp:lastPrinted>
  <dcterms:created xsi:type="dcterms:W3CDTF">2026-01-20T02:32:22Z</dcterms:created>
  <dcterms:modified xsi:type="dcterms:W3CDTF">2026-01-21T07:09:05Z</dcterms:modified>
</cp:coreProperties>
</file>